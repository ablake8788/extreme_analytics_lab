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I review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Guide" sheetId="4" state="visible" r:id="rId4"/>
    <sheet xmlns:r="http://schemas.openxmlformats.org/officeDocument/2006/relationships" name="Data gaps" sheetId="5" state="visible" r:id="rId5"/>
    <sheet xmlns:r="http://schemas.openxmlformats.org/officeDocument/2006/relationships" name="Aug 2025" sheetId="6" state="visible" r:id="rId6"/>
    <sheet xmlns:r="http://schemas.openxmlformats.org/officeDocument/2006/relationships" name="Events" sheetId="7" state="visible" r:id="rId7"/>
    <sheet xmlns:r="http://schemas.openxmlformats.org/officeDocument/2006/relationships" name="Daily overview" sheetId="8" state="visible" r:id="rId8"/>
    <sheet xmlns:r="http://schemas.openxmlformats.org/officeDocument/2006/relationships" name="Monthly metrics" sheetId="9" state="visible" r:id="rId9"/>
    <sheet xmlns:r="http://schemas.openxmlformats.org/officeDocument/2006/relationships" name="Column descriptor" sheetId="10" state="visible" r:id="rId10"/>
  </sheets>
  <definedNames>
    <definedName name="_xlnm._FilterDatabase" localSheetId="6" hidden="1">'Events'!$B$8:$M$56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"/>
    <numFmt numFmtId="166" formatCode="yyyy-mm-dd h:mm:ss"/>
    <numFmt numFmtId="167" formatCode="yyyy-mm-dd hh:mm"/>
    <numFmt numFmtId="168" formatCode="0.000"/>
    <numFmt numFmtId="169" formatCode="ddd yyyy-mm-dd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0"/>
    </font>
    <font>
      <name val="Arial"/>
      <color rgb="00000000"/>
      <sz val="11"/>
    </font>
    <font>
      <name val="Arial"/>
      <color rgb="00000000"/>
      <sz val="10"/>
    </font>
    <font>
      <name val="Arial"/>
      <color rgb="001155CC"/>
      <sz val="10"/>
      <u val="single"/>
    </font>
    <font>
      <name val="Arial"/>
      <b val="1"/>
      <color rgb="00000000"/>
      <sz val="11"/>
    </font>
    <font>
      <name val="Arial"/>
      <i val="1"/>
      <color rgb="005D6975"/>
      <sz val="9"/>
    </font>
    <font>
      <name val="Arial"/>
      <b val="1"/>
      <color rgb="00000000"/>
      <sz val="10"/>
    </font>
    <font>
      <name val="Arial"/>
      <i val="1"/>
      <color rgb="005D6975"/>
      <sz val="10"/>
    </font>
    <font>
      <name val="Arial"/>
      <b val="1"/>
      <color rgb="001155CC"/>
      <sz val="10"/>
      <u val="single"/>
    </font>
    <font>
      <name val="Arial"/>
      <color rgb="00FFFFFF"/>
      <sz val="12"/>
    </font>
    <font>
      <name val="Arial"/>
      <color rgb="00000000"/>
      <sz val="9"/>
    </font>
    <font>
      <name val="Arial"/>
      <b val="1"/>
      <color rgb="00000000"/>
      <sz val="14"/>
    </font>
    <font>
      <name val="Arial"/>
      <b val="1"/>
      <color rgb="00FF0000"/>
      <sz val="10"/>
    </font>
    <font>
      <name val="Arial"/>
      <b val="1"/>
      <color rgb="00000000"/>
      <sz val="9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31357"/>
      </patternFill>
    </fill>
    <fill>
      <patternFill patternType="solid">
        <fgColor rgb="00382BEE"/>
      </patternFill>
    </fill>
    <fill>
      <patternFill patternType="solid">
        <fgColor rgb="00F3F3F3"/>
      </patternFill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A4C2F4"/>
      </patternFill>
    </fill>
    <fill>
      <patternFill patternType="solid">
        <fgColor rgb="00C9DAF8"/>
      </patternFill>
    </fill>
    <fill>
      <patternFill patternType="solid">
        <fgColor rgb="00FFFFFF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6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1" pivotButton="0" quotePrefix="0" xfId="0"/>
    <xf numFmtId="0" fontId="0" fillId="0" borderId="1" pivotButton="0" quotePrefix="0" xfId="0"/>
    <xf numFmtId="0" fontId="8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9" fillId="0" borderId="0" pivotButton="0" quotePrefix="0" xfId="0"/>
    <xf numFmtId="0" fontId="7" fillId="0" borderId="0" pivotButton="0" quotePrefix="0" xfId="0"/>
    <xf numFmtId="0" fontId="6" fillId="4" borderId="0" pivotButton="0" quotePrefix="0" xfId="0"/>
    <xf numFmtId="0" fontId="6" fillId="0" borderId="0" pivotButton="0" quotePrefix="0" xfId="0"/>
    <xf numFmtId="0" fontId="8" fillId="6" borderId="2" applyAlignment="1" pivotButton="0" quotePrefix="0" xfId="0">
      <alignment vertical="top" wrapText="1"/>
    </xf>
    <xf numFmtId="1" fontId="4" fillId="0" borderId="2" pivotButton="0" quotePrefix="0" xfId="0"/>
    <xf numFmtId="164" fontId="4" fillId="0" borderId="2" pivotButton="0" quotePrefix="0" xfId="0"/>
    <xf numFmtId="165" fontId="4" fillId="0" borderId="2" pivotButton="0" quotePrefix="0" xfId="0"/>
    <xf numFmtId="0" fontId="4" fillId="0" borderId="0" pivotButton="0" quotePrefix="0" xfId="0"/>
    <xf numFmtId="0" fontId="8" fillId="6" borderId="0" pivotButton="0" quotePrefix="0" xfId="0"/>
    <xf numFmtId="0" fontId="0" fillId="6" borderId="0" pivotButton="0" quotePrefix="0" xfId="0"/>
    <xf numFmtId="0" fontId="10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167" fontId="4" fillId="0" borderId="2" pivotButton="0" quotePrefix="0" xfId="0"/>
    <xf numFmtId="0" fontId="4" fillId="0" borderId="2" pivotButton="0" quotePrefix="0" xfId="0"/>
    <xf numFmtId="0" fontId="4" fillId="7" borderId="2" pivotButton="0" quotePrefix="0" xfId="0"/>
    <xf numFmtId="0" fontId="1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4" fillId="6" borderId="0" pivotButton="0" quotePrefix="0" xfId="0"/>
    <xf numFmtId="0" fontId="4" fillId="4" borderId="0" pivotButton="0" quotePrefix="0" xfId="0"/>
    <xf numFmtId="0" fontId="8" fillId="8" borderId="0" pivotButton="0" quotePrefix="0" xfId="0"/>
    <xf numFmtId="0" fontId="0" fillId="8" borderId="0" pivotButton="0" quotePrefix="0" xfId="0"/>
    <xf numFmtId="0" fontId="12" fillId="0" borderId="0" pivotButton="0" quotePrefix="0" xfId="0"/>
    <xf numFmtId="0" fontId="12" fillId="9" borderId="0" applyAlignment="1" pivotButton="0" quotePrefix="0" xfId="0">
      <alignment vertical="top" wrapText="1"/>
    </xf>
    <xf numFmtId="0" fontId="0" fillId="9" borderId="0" pivotButton="0" quotePrefix="0" xfId="0"/>
    <xf numFmtId="0" fontId="8" fillId="7" borderId="0" applyAlignment="1" pivotButton="0" quotePrefix="0" xfId="0">
      <alignment vertical="top" wrapText="1"/>
    </xf>
    <xf numFmtId="164" fontId="14" fillId="0" borderId="0" pivotButton="0" quotePrefix="0" xfId="0"/>
    <xf numFmtId="164" fontId="4" fillId="0" borderId="0" pivotButton="0" quotePrefix="0" xfId="0"/>
    <xf numFmtId="0" fontId="12" fillId="0" borderId="0" applyAlignment="1" pivotButton="0" quotePrefix="0" xfId="0">
      <alignment vertical="top" wrapText="1"/>
    </xf>
    <xf numFmtId="164" fontId="13" fillId="9" borderId="0" pivotButton="0" quotePrefix="0" xfId="0"/>
    <xf numFmtId="0" fontId="13" fillId="9" borderId="0" pivotButton="0" quotePrefix="0" xfId="0"/>
    <xf numFmtId="0" fontId="0" fillId="7" borderId="0" pivotButton="0" quotePrefix="0" xfId="0"/>
    <xf numFmtId="164" fontId="8" fillId="0" borderId="0" pivotButton="0" quotePrefix="0" xfId="0"/>
    <xf numFmtId="165" fontId="13" fillId="9" borderId="0" pivotButton="0" quotePrefix="0" xfId="0"/>
    <xf numFmtId="165" fontId="14" fillId="0" borderId="0" pivotButton="0" quotePrefix="0" xfId="0"/>
    <xf numFmtId="165" fontId="4" fillId="0" borderId="0" pivotButton="0" quotePrefix="0" xfId="0"/>
    <xf numFmtId="0" fontId="15" fillId="10" borderId="1" applyAlignment="1" pivotButton="0" quotePrefix="0" xfId="0">
      <alignment vertical="top" wrapText="1"/>
    </xf>
    <xf numFmtId="2" fontId="8" fillId="0" borderId="1" pivotButton="0" quotePrefix="0" xfId="0"/>
    <xf numFmtId="2" fontId="4" fillId="0" borderId="1" pivotButton="0" quotePrefix="0" xfId="0"/>
    <xf numFmtId="164" fontId="8" fillId="0" borderId="1" pivotButton="0" quotePrefix="0" xfId="0"/>
    <xf numFmtId="164" fontId="4" fillId="0" borderId="1" pivotButton="0" quotePrefix="0" xfId="0"/>
    <xf numFmtId="1" fontId="8" fillId="0" borderId="1" pivotButton="0" quotePrefix="0" xfId="0"/>
    <xf numFmtId="1" fontId="4" fillId="0" borderId="1" pivotButton="0" quotePrefix="0" xfId="0"/>
    <xf numFmtId="165" fontId="8" fillId="0" borderId="1" pivotButton="0" quotePrefix="0" xfId="0"/>
    <xf numFmtId="165" fontId="4" fillId="0" borderId="1" pivotButton="0" quotePrefix="0" xfId="0"/>
    <xf numFmtId="168" fontId="8" fillId="0" borderId="1" pivotButton="0" quotePrefix="0" xfId="0"/>
    <xf numFmtId="168" fontId="4" fillId="0" borderId="1" pivotButton="0" quotePrefix="0" xfId="0"/>
    <xf numFmtId="0" fontId="8" fillId="10" borderId="1" applyAlignment="1" pivotButton="0" quotePrefix="0" xfId="0">
      <alignment vertical="top" wrapText="1"/>
    </xf>
    <xf numFmtId="167" fontId="4" fillId="0" borderId="0" pivotButton="0" quotePrefix="0" xfId="0"/>
    <xf numFmtId="2" fontId="4" fillId="0" borderId="0" pivotButton="0" quotePrefix="0" xfId="0"/>
    <xf numFmtId="168" fontId="4" fillId="0" borderId="0" pivotButton="0" quotePrefix="0" xfId="0"/>
    <xf numFmtId="0" fontId="4" fillId="11" borderId="0" pivotButton="0" quotePrefix="0" xfId="0"/>
    <xf numFmtId="0" fontId="4" fillId="7" borderId="0" pivotButton="0" quotePrefix="0" xfId="0"/>
    <xf numFmtId="0" fontId="16" fillId="2" borderId="2" applyAlignment="1" pivotButton="0" quotePrefix="0" xfId="0">
      <alignment vertical="top" wrapText="1"/>
    </xf>
    <xf numFmtId="2" fontId="4" fillId="0" borderId="2" pivotButton="0" quotePrefix="0" xfId="0"/>
    <xf numFmtId="168" fontId="4" fillId="0" borderId="2" pivotButton="0" quotePrefix="0" xfId="0"/>
    <xf numFmtId="169" fontId="4" fillId="0" borderId="2" pivotButton="0" quotePrefix="0" xfId="0"/>
    <xf numFmtId="1" fontId="8" fillId="0" borderId="2" pivotButton="0" quotePrefix="0" xfId="0"/>
    <xf numFmtId="2" fontId="8" fillId="0" borderId="2" pivotButton="0" quotePrefix="0" xfId="0"/>
    <xf numFmtId="164" fontId="8" fillId="0" borderId="2" pivotButton="0" quotePrefix="0" xfId="0"/>
    <xf numFmtId="165" fontId="8" fillId="0" borderId="2" pivotButton="0" quotePrefix="0" xfId="0"/>
    <xf numFmtId="168" fontId="8" fillId="0" borderId="2" pivotButton="0" quotePrefix="0" xfId="0"/>
    <xf numFmtId="0" fontId="4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10953750" cy="5419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0953750" cy="3314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0953750" cy="2895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0953750" cy="68865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43</row>
      <rowOff>0</rowOff>
    </from>
    <ext cx="10953750" cy="3467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Guide'!A1" TargetMode="External" Id="rId1"/><Relationship Type="http://schemas.openxmlformats.org/officeDocument/2006/relationships/hyperlink" Target="#'Dashboard'!A1" TargetMode="External" Id="rId2"/><Relationship Type="http://schemas.openxmlformats.org/officeDocument/2006/relationships/hyperlink" Target="#'AI review'!A1" TargetMode="External" Id="rId3"/><Relationship Type="http://schemas.openxmlformats.org/officeDocument/2006/relationships/hyperlink" Target="#'Column descriptor'!A1" TargetMode="External" Id="rId4"/><Relationship Type="http://schemas.openxmlformats.org/officeDocument/2006/relationships/hyperlink" Target="#'Column descriptor'!A1" TargetMode="External" Id="rId5"/><Relationship Type="http://schemas.openxmlformats.org/officeDocument/2006/relationships/hyperlink" Target="#'Data gaps'!A1" TargetMode="External" Id="rId6"/><Relationship Type="http://schemas.openxmlformats.org/officeDocument/2006/relationships/hyperlink" Target="#'Aug 2025'!A1" TargetMode="External" Id="rId7"/><Relationship Type="http://schemas.openxmlformats.org/officeDocument/2006/relationships/hyperlink" Target="#'Data gaps'!A1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drawing" Target="/xl/drawings/drawing1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'AI review'!A1" TargetMode="External" Id="rId2"/><Relationship Type="http://schemas.openxmlformats.org/officeDocument/2006/relationships/hyperlink" Target="#'Dashboard'!A1" TargetMode="External" Id="rId3"/><Relationship Type="http://schemas.openxmlformats.org/officeDocument/2006/relationships/hyperlink" Target="#'Aug 2025'!A1" TargetMode="External" Id="rId4"/><Relationship Type="http://schemas.openxmlformats.org/officeDocument/2006/relationships/hyperlink" Target="#'Data gaps'!A1" TargetMode="External" Id="rId5"/><Relationship Type="http://schemas.openxmlformats.org/officeDocument/2006/relationships/hyperlink" Target="#'Events'!A1" TargetMode="External" Id="rId6"/><Relationship Type="http://schemas.openxmlformats.org/officeDocument/2006/relationships/hyperlink" Target="#'Daily overview'!A1" TargetMode="External" Id="rId7"/><Relationship Type="http://schemas.openxmlformats.org/officeDocument/2006/relationships/hyperlink" Target="#'Monthly metrics'!A1" TargetMode="External" Id="rId8"/><Relationship Type="http://schemas.openxmlformats.org/officeDocument/2006/relationships/hyperlink" Target="#'Column descriptor'!A1" TargetMode="External" Id="rId9"/><Relationship Type="http://schemas.openxmlformats.org/officeDocument/2006/relationships/hyperlink" Target="#'Data'!A1" TargetMode="External" Id="rId10"/></Relationships>
</file>

<file path=xl/worksheets/_rels/sheet6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'Events'!B8" TargetMode="External" Id="rId2"/><Relationship Type="http://schemas.openxmlformats.org/officeDocument/2006/relationships/drawing" Target="/xl/drawings/drawing2.xml" Id="rId3"/></Relationships>
</file>

<file path=xl/worksheets/_rels/sheet7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27.6" customWidth="1" min="2" max="2"/>
    <col width="50.9" customWidth="1" min="3" max="3"/>
    <col width="74.75" customWidth="1" min="4" max="4"/>
    <col width="11.75" customWidth="1" min="5" max="5"/>
    <col width="26.25" customWidth="1" min="6" max="6"/>
    <col width="4" customWidth="1" min="7" max="7"/>
  </cols>
  <sheetData>
    <row r="1">
      <c r="B1" s="1" t="n"/>
      <c r="C1" s="1" t="n"/>
      <c r="D1" s="1" t="n"/>
      <c r="E1" s="1" t="n"/>
      <c r="F1" s="1" t="n"/>
    </row>
    <row r="2" ht="30" customHeight="1">
      <c r="B2" s="2" t="inlineStr">
        <is>
          <t>Results analysis summary: Monthly overview</t>
        </is>
      </c>
      <c r="C2" s="1" t="n"/>
      <c r="D2" s="1" t="n"/>
      <c r="E2" s="3" t="inlineStr">
        <is>
          <t>Report generated: 10/09/2026 16:09</t>
        </is>
      </c>
      <c r="F2" s="1" t="n"/>
    </row>
    <row r="3">
      <c r="B3" s="1" t="n"/>
      <c r="C3" s="1" t="n"/>
      <c r="D3" s="1" t="n"/>
      <c r="E3" s="1" t="n"/>
      <c r="F3" s="1" t="n"/>
    </row>
    <row r="4" ht="4" customHeight="1">
      <c r="B4" s="4" t="n"/>
      <c r="C4" s="4" t="n"/>
      <c r="D4" s="4" t="n"/>
      <c r="E4" s="4" t="n"/>
      <c r="F4" s="4" t="n"/>
    </row>
    <row r="6">
      <c r="B6" s="5" t="inlineStr">
        <is>
          <t>Hello,</t>
        </is>
      </c>
    </row>
    <row r="7">
      <c r="B7" s="5" t="inlineStr">
        <is>
          <t>Below is a summary of the 1 month of readings for Test Building, AHU 1 (1,296 readings, 08/01/2025 – 08/14/2025), and our recommendations.</t>
        </is>
      </c>
    </row>
    <row r="8">
      <c r="B8" s="5" t="inlineStr">
        <is>
          <t>Use the tabs at the bottom to find more detail about each month, including event-level actions.</t>
        </is>
      </c>
    </row>
    <row r="9">
      <c r="B9" s="6" t="inlineStr">
        <is>
          <t>Read the Guide</t>
        </is>
      </c>
      <c r="C9" s="6" t="inlineStr">
        <is>
          <t>See the charts (go to 'Dashboard')</t>
        </is>
      </c>
      <c r="D9" s="6" t="inlineStr">
        <is>
          <t>Read the AI review (go to 'AI review')</t>
        </is>
      </c>
    </row>
    <row r="11" ht="22" customHeight="1">
      <c r="A11" s="7" t="n"/>
      <c r="B11" s="8" t="inlineStr">
        <is>
          <t>AI summary</t>
        </is>
      </c>
      <c r="D11" s="9" t="inlineStr">
        <is>
          <t>Plain built-in wording (AI not used). AI wording not used: no OpenAI API key is set ([openai] api_key in config.local.ini).</t>
        </is>
      </c>
      <c r="E11" s="7" t="n"/>
      <c r="F11" s="7" t="n"/>
    </row>
    <row r="12" ht="16" customHeight="1">
      <c r="B12" s="10" t="inlineStr">
        <is>
          <t>● Data gap: no readings from 2025-08-06 09:45 to 2025-08-06 22:00 (12 h 15 min).</t>
        </is>
      </c>
    </row>
    <row r="13" ht="16" customHeight="1">
      <c r="B13" s="10" t="inlineStr">
        <is>
          <t>● Below typical from 2025-08-09 22:00 to 2025-08-10 06:45 (9 h), up to 7.56°F from typical.</t>
        </is>
      </c>
    </row>
    <row r="14" ht="16" customHeight="1">
      <c r="B14" s="10" t="inlineStr">
        <is>
          <t>● The engine flagged 47 events with a 5.0-hour baseline; with a 24.0-hour baseline the same data gives 6.</t>
        </is>
      </c>
    </row>
    <row r="17" ht="22" customHeight="1">
      <c r="A17" s="7" t="n"/>
      <c r="B17" s="11" t="inlineStr">
        <is>
          <t>August 2025  /  Sensor: Test Building, AHU 1 (°F)</t>
        </is>
      </c>
      <c r="D17" s="12" t="inlineStr">
        <is>
          <t>Rank by mean materiality: 1 out of 1 months  ·  extremes 19% of readings</t>
        </is>
      </c>
      <c r="E17" s="12" t="inlineStr">
        <is>
          <t>Status:</t>
        </is>
      </c>
      <c r="F17" s="13" t="inlineStr">
        <is>
          <t>3 recommendations</t>
        </is>
      </c>
    </row>
    <row r="19">
      <c r="B19" s="14" t="inlineStr">
        <is>
          <t>Improve</t>
        </is>
      </c>
      <c r="C19" s="14" t="inlineStr">
        <is>
          <t>Recommendations</t>
        </is>
      </c>
      <c r="D19" s="14" t="inlineStr">
        <is>
          <t>Why have we recommended this?</t>
        </is>
      </c>
      <c r="E19" s="15" t="n"/>
      <c r="F19" s="14" t="inlineStr">
        <is>
          <t>Learn more</t>
        </is>
      </c>
    </row>
    <row r="20" ht="42" customHeight="1">
      <c r="B20" s="10" t="inlineStr">
        <is>
          <t xml:space="preserve">        Operating level</t>
        </is>
      </c>
      <c r="C20" s="16" t="inlineStr">
        <is>
          <t>● Review what changed when the level shifted</t>
        </is>
      </c>
      <c r="D20" s="10" t="inlineStr">
        <is>
          <t>Confirmed shift share: 19% of readings (62 h). The value stayed away from its baseline for N_M readings in a row with a high mean |Z| - check setpoint or schedule changes, sensor drift or an equipment fault.</t>
        </is>
      </c>
      <c r="F20" s="17" t="inlineStr">
        <is>
          <t>Confirmed/Materialized Shift</t>
        </is>
      </c>
    </row>
    <row r="21" ht="42" customHeight="1">
      <c r="B21" s="10" t="inlineStr">
        <is>
          <t xml:space="preserve">        Sensitivity</t>
        </is>
      </c>
      <c r="C21" s="16" t="inlineStr">
        <is>
          <t>● Consider a longer baseline window</t>
        </is>
      </c>
      <c r="D21" s="10" t="inlineStr">
        <is>
          <t>Extreme share is 19% of readings, well above the ~5% expected at K_E = 2. A longer Window (96 = 24 h) or a higher K_E would flag fewer routine swings.</t>
        </is>
      </c>
      <c r="F21" s="17" t="inlineStr">
        <is>
          <t>K_E</t>
        </is>
      </c>
    </row>
    <row r="22" ht="42" customHeight="1">
      <c r="B22" s="10" t="inlineStr">
        <is>
          <t xml:space="preserve">        Data quality</t>
        </is>
      </c>
      <c r="C22" s="16" t="inlineStr">
        <is>
          <t>● Fix the data gaps</t>
        </is>
      </c>
      <c r="D22" s="10" t="inlineStr">
        <is>
          <t>Missing data: 12.2 h in gaps longer than three reading intervals. Events inside a gap cannot be detected.</t>
        </is>
      </c>
      <c r="F22" s="17" t="inlineStr">
        <is>
          <t>Data gaps</t>
        </is>
      </c>
    </row>
    <row r="24">
      <c r="C24" s="6" t="inlineStr">
        <is>
          <t>Show events and benchmarks for this month (go to 'Aug 2025')</t>
        </is>
      </c>
    </row>
    <row r="27">
      <c r="A27" s="7" t="n"/>
      <c r="B27" s="11" t="inlineStr">
        <is>
          <t>Data quality  /  Gaps in the readings</t>
        </is>
      </c>
      <c r="D27" s="12" t="inlineStr">
        <is>
          <t>1 gaps, 12.2 hours of missing data</t>
        </is>
      </c>
      <c r="E27" s="12" t="inlineStr">
        <is>
          <t>Status:</t>
        </is>
      </c>
      <c r="F27" s="13" t="inlineStr">
        <is>
          <t>Gaps to review</t>
        </is>
      </c>
    </row>
    <row r="29">
      <c r="B29" s="6" t="inlineStr">
        <is>
          <t>Show the gaps (go to 'Data gaps')</t>
        </is>
      </c>
    </row>
  </sheetData>
  <mergeCells count="6">
    <mergeCell ref="B12:F12"/>
    <mergeCell ref="B11:C11"/>
    <mergeCell ref="B14:F14"/>
    <mergeCell ref="B17:C17"/>
    <mergeCell ref="B27:C27"/>
    <mergeCell ref="B13:F13"/>
  </mergeCells>
  <hyperlinks>
    <hyperlink xmlns:r="http://schemas.openxmlformats.org/officeDocument/2006/relationships" ref="B9" r:id="rId1"/>
    <hyperlink xmlns:r="http://schemas.openxmlformats.org/officeDocument/2006/relationships" ref="C9" r:id="rId2"/>
    <hyperlink xmlns:r="http://schemas.openxmlformats.org/officeDocument/2006/relationships" ref="D9" r:id="rId3"/>
    <hyperlink xmlns:r="http://schemas.openxmlformats.org/officeDocument/2006/relationships" ref="F20" r:id="rId4"/>
    <hyperlink xmlns:r="http://schemas.openxmlformats.org/officeDocument/2006/relationships" ref="F21" r:id="rId5"/>
    <hyperlink xmlns:r="http://schemas.openxmlformats.org/officeDocument/2006/relationships" ref="F22" r:id="rId6"/>
    <hyperlink xmlns:r="http://schemas.openxmlformats.org/officeDocument/2006/relationships" ref="C24" r:id="rId7"/>
    <hyperlink xmlns:r="http://schemas.openxmlformats.org/officeDocument/2006/relationships" ref="B2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43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4" customWidth="1" min="2" max="2"/>
    <col width="110" customWidth="1" min="3" max="3"/>
  </cols>
  <sheetData>
    <row r="1">
      <c r="B1" s="1" t="n"/>
      <c r="C1" s="1" t="n"/>
      <c r="D1" s="1" t="n"/>
    </row>
    <row r="2" ht="30" customHeight="1">
      <c r="B2" s="2" t="inlineStr">
        <is>
          <t>AI review</t>
        </is>
      </c>
      <c r="C2" s="3" t="inlineStr">
        <is>
          <t>Report generated: 10/09/2026 16:09</t>
        </is>
      </c>
      <c r="D2" s="1" t="n"/>
    </row>
    <row r="3">
      <c r="B3" s="1" t="n"/>
      <c r="C3" s="1" t="n"/>
      <c r="D3" s="1" t="n"/>
    </row>
    <row r="4" ht="4" customHeight="1">
      <c r="B4" s="4" t="n"/>
      <c r="C4" s="4" t="n"/>
      <c r="D4" s="4" t="n"/>
    </row>
    <row r="5">
      <c r="B5" s="6" t="inlineStr">
        <is>
          <t>&lt; Back to summary worksheet</t>
        </is>
      </c>
    </row>
    <row r="6">
      <c r="B6" s="18" t="inlineStr">
        <is>
          <t>Plain built-in wording (AI not used). AI wording not used: no OpenAI API key is set ([openai] api_key in config.local.ini).</t>
        </is>
      </c>
    </row>
    <row r="7">
      <c r="B7" s="19" t="inlineStr">
        <is>
          <t>Causes are hypotheses to check, not conclusions. The figures on the other tabs are computed by the app.</t>
        </is>
      </c>
    </row>
    <row r="9">
      <c r="B9" s="20" t="inlineStr">
        <is>
          <t>Summary</t>
        </is>
      </c>
      <c r="C9" s="7" t="n"/>
    </row>
    <row r="10" ht="15" customHeight="1">
      <c r="C10" s="10" t="inlineStr">
        <is>
          <t>● Data gap: no readings from 2025-08-06 09:45 to 2025-08-06 22:00 (12 h 15 min).</t>
        </is>
      </c>
    </row>
    <row r="11" ht="15" customHeight="1">
      <c r="C11" s="10" t="inlineStr">
        <is>
          <t>● Below typical from 2025-08-09 22:00 to 2025-08-10 06:45 (9 h), up to 7.56°F from typical.</t>
        </is>
      </c>
    </row>
    <row r="12" ht="15" customHeight="1">
      <c r="C12" s="10" t="inlineStr">
        <is>
          <t>● The engine flagged 47 events with a 5.0-hour baseline; with a 24.0-hour baseline the same data gives 6.</t>
        </is>
      </c>
    </row>
    <row r="14">
      <c r="B14" s="20" t="inlineStr">
        <is>
          <t>Normal behaviour</t>
        </is>
      </c>
      <c r="C14" s="7" t="n"/>
    </row>
    <row r="15" ht="15" customHeight="1">
      <c r="C15" s="10" t="inlineStr">
        <is>
          <t>The typical daily swing is 5.6-7.84°F; schedule transitions happen around hours 7, 8, 9, 10, 18, 19, 20, 21, 22.</t>
        </is>
      </c>
    </row>
    <row r="17">
      <c r="B17" s="20" t="inlineStr">
        <is>
          <t>Abnormal periods</t>
        </is>
      </c>
      <c r="C17" s="7" t="n"/>
    </row>
    <row r="18" ht="30" customHeight="1">
      <c r="B18" s="16" t="inlineStr">
        <is>
          <t>Below typical for this time of day</t>
        </is>
      </c>
      <c r="C18" s="10" t="inlineStr">
        <is>
          <t>Observed 72.52-72.52°F where 80.08-80.08°F is typical. Check schedules, overrides and equipment logs for this period - a hypothesis to check, not a conclusion.</t>
        </is>
      </c>
    </row>
    <row r="20">
      <c r="B20" s="20" t="inlineStr">
        <is>
          <t>Data gaps</t>
        </is>
      </c>
      <c r="C20" s="7" t="n"/>
    </row>
    <row r="21" ht="15" customHeight="1">
      <c r="C21" s="10" t="inlineStr">
        <is>
          <t>Readings resumed after the gap.</t>
        </is>
      </c>
    </row>
    <row r="23">
      <c r="B23" s="20" t="inlineStr">
        <is>
          <t>Rate of change</t>
        </is>
      </c>
      <c r="C23" s="7" t="n"/>
    </row>
    <row r="24" ht="15" customHeight="1">
      <c r="C24" s="10" t="inlineStr">
        <is>
          <t>● Typical fastest change: -0.84°F down, 0.84°F up per reading.</t>
        </is>
      </c>
    </row>
    <row r="25" ht="15" customHeight="1">
      <c r="C25" s="10" t="inlineStr">
        <is>
          <t>● 70.0% of abnormal-change flags fall in schedule transition hours.</t>
        </is>
      </c>
    </row>
    <row r="27">
      <c r="B27" s="20" t="inlineStr">
        <is>
          <t>Volatility</t>
        </is>
      </c>
      <c r="C27" s="7" t="n"/>
    </row>
    <row r="28" ht="15" customHeight="1">
      <c r="C28" s="10" t="inlineStr">
        <is>
          <t>● Daily variability of changes stays between 0.32 and 0.83°F.</t>
        </is>
      </c>
    </row>
    <row r="30">
      <c r="B30" s="20" t="inlineStr">
        <is>
          <t>Why the engine flagged what it did</t>
        </is>
      </c>
      <c r="C30" s="7" t="n"/>
    </row>
    <row r="31" ht="30" customHeight="1">
      <c r="C31" s="10" t="inlineStr">
        <is>
          <t>93.0% of extreme flags (228 of 246) fall in schedule transition hours, and 50 came from periods with almost no variability.</t>
        </is>
      </c>
    </row>
    <row r="33">
      <c r="B33" s="20" t="inlineStr">
        <is>
          <t>Recommendations: operations</t>
        </is>
      </c>
      <c r="C33" s="7" t="n"/>
    </row>
    <row r="34" ht="15" customHeight="1">
      <c r="B34" s="16" t="inlineStr">
        <is>
          <t>Review the abnormal periods</t>
        </is>
      </c>
      <c r="C34" s="10" t="inlineStr">
        <is>
          <t>Check schedules, overrides and equipment logs for the periods listed.</t>
        </is>
      </c>
    </row>
    <row r="35" ht="15" customHeight="1">
      <c r="B35" s="16" t="inlineStr">
        <is>
          <t>Check the data gap</t>
        </is>
      </c>
      <c r="C35" s="10" t="inlineStr">
        <is>
          <t>Find the cause and alert on missing data.</t>
        </is>
      </c>
    </row>
    <row r="37">
      <c r="B37" s="20" t="inlineStr">
        <is>
          <t>Recommendations: analytics settings</t>
        </is>
      </c>
      <c r="C37" s="7" t="n"/>
    </row>
    <row r="38" ht="15" customHeight="1">
      <c r="B38" s="16" t="inlineStr">
        <is>
          <t>Use a daily baseline</t>
        </is>
      </c>
      <c r="C38" s="10" t="inlineStr">
        <is>
          <t>A window covering one day avoids flagging the normal cycle.</t>
        </is>
      </c>
    </row>
    <row r="39" ht="15" customHeight="1">
      <c r="B39" s="16" t="inlineStr">
        <is>
          <t>Add a variability floor</t>
        </is>
      </c>
      <c r="C39" s="10" t="inlineStr">
        <is>
          <t>At least one sensor step, so a single tick cannot trigger an extreme.</t>
        </is>
      </c>
    </row>
    <row r="41">
      <c r="B41" s="20" t="inlineStr">
        <is>
          <t>Limitations</t>
        </is>
      </c>
      <c r="C41" s="7" t="n"/>
    </row>
    <row r="42" ht="15" customHeight="1">
      <c r="C42" s="10" t="inlineStr">
        <is>
          <t>● Causes are hypotheses for investigation.</t>
        </is>
      </c>
    </row>
    <row r="43" ht="15" customHeight="1">
      <c r="C43" s="10" t="inlineStr">
        <is>
          <t>● The typical baseline uses only the period in this file.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T85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0" customHeight="1">
      <c r="B2" s="2" t="inlineStr">
        <is>
          <t>Dashboard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3" t="inlineStr">
        <is>
          <t>Report generated: 10/09/2026 16:09</t>
        </is>
      </c>
      <c r="T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B5" s="6" t="inlineStr">
        <is>
          <t>&lt; Back to summary worksheet</t>
        </is>
      </c>
    </row>
    <row r="6">
      <c r="B6" s="18" t="inlineStr">
        <is>
          <t>Charts for the whole period. The monthly figures behind them are in the table below.</t>
        </is>
      </c>
    </row>
    <row r="8">
      <c r="B8" s="21" t="inlineStr">
        <is>
          <t>Monthly figures</t>
        </is>
      </c>
    </row>
    <row r="9" ht="28" customHeight="1">
      <c r="B9" s="22" t="inlineStr">
        <is>
          <t>Month</t>
        </is>
      </c>
      <c r="C9" s="22" t="inlineStr">
        <is>
          <t>Extreme share</t>
        </is>
      </c>
      <c r="D9" s="22" t="inlineStr">
        <is>
          <t>Confirmed share</t>
        </is>
      </c>
      <c r="E9" s="22" t="inlineStr">
        <is>
          <t>Sustained deviation (h)</t>
        </is>
      </c>
      <c r="F9" s="22" t="inlineStr">
        <is>
          <t>Material changes per day</t>
        </is>
      </c>
      <c r="G9" s="22" t="inlineStr">
        <is>
          <t>Investigate</t>
        </is>
      </c>
      <c r="H9" s="22" t="inlineStr">
        <is>
          <t>Review</t>
        </is>
      </c>
      <c r="I9" s="22" t="inlineStr">
        <is>
          <t>Monitor</t>
        </is>
      </c>
      <c r="J9" s="22" t="inlineStr">
        <is>
          <t>Upper – Day</t>
        </is>
      </c>
      <c r="K9" s="22" t="inlineStr">
        <is>
          <t>Upper – Night</t>
        </is>
      </c>
      <c r="L9" s="22" t="inlineStr">
        <is>
          <t>Lower – Day</t>
        </is>
      </c>
      <c r="M9" s="22" t="inlineStr">
        <is>
          <t>Lower – Night</t>
        </is>
      </c>
    </row>
    <row r="10">
      <c r="B10" s="23" t="inlineStr">
        <is>
          <t>Aug 2025</t>
        </is>
      </c>
      <c r="C10" s="24" t="n">
        <v>0.1898148148148148</v>
      </c>
      <c r="D10" s="24" t="n">
        <v>0.1921296296296296</v>
      </c>
      <c r="E10" s="25" t="n">
        <v>89.75</v>
      </c>
      <c r="F10" s="25" t="n">
        <v>1.928571428571429</v>
      </c>
      <c r="G10" s="23" t="n">
        <v>27</v>
      </c>
      <c r="H10" s="23" t="n">
        <v>1</v>
      </c>
      <c r="I10" s="23" t="n">
        <v>20</v>
      </c>
      <c r="J10" s="23" t="n">
        <v>9</v>
      </c>
      <c r="K10" s="23" t="n">
        <v>124</v>
      </c>
      <c r="L10" s="23" t="n">
        <v>106</v>
      </c>
      <c r="M10" s="23" t="n">
        <v>7</v>
      </c>
    </row>
    <row r="13">
      <c r="B13" s="21" t="inlineStr">
        <is>
          <t>By month</t>
        </is>
      </c>
    </row>
    <row r="45">
      <c r="B45" s="21" t="inlineStr">
        <is>
          <t>Events and extremes</t>
        </is>
      </c>
    </row>
    <row r="66">
      <c r="B66" s="21" t="inlineStr">
        <is>
          <t>Time of day</t>
        </is>
      </c>
    </row>
    <row r="85">
      <c r="B85" s="21" t="inlineStr">
        <is>
          <t>By day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42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28" customWidth="1" min="2" max="2"/>
    <col width="4" customWidth="1" min="3" max="3"/>
    <col width="100" customWidth="1" min="4" max="4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B2" s="2" t="inlineStr">
        <is>
          <t>Guide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3" t="inlineStr"/>
      <c r="L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6">
      <c r="B6" s="26" t="inlineStr">
        <is>
          <t>This report summarises the Extreme &amp; Change analysis of Test Building, AHU 1 and gives recommendations and benchmarks for each month.</t>
        </is>
      </c>
    </row>
    <row r="7">
      <c r="B7" s="26" t="inlineStr">
        <is>
          <t>It shows when the readings left their normal range, how long deviations lasted, how often the value changed abnormally fast, and how much data is missing.</t>
        </is>
      </c>
    </row>
    <row r="9">
      <c r="B9" s="21" t="inlineStr">
        <is>
          <t>How to use this report</t>
        </is>
      </c>
    </row>
    <row r="10">
      <c r="B10" s="26" t="inlineStr">
        <is>
          <t>Use the tabs at the bottom of the screen to move through the workbook.</t>
        </is>
      </c>
    </row>
    <row r="12">
      <c r="B12" s="27" t="inlineStr">
        <is>
          <t>Tab (at the bottom of the screen)</t>
        </is>
      </c>
      <c r="C12" s="28" t="n"/>
      <c r="D12" s="27" t="inlineStr">
        <is>
          <t>What is on the tab?</t>
        </is>
      </c>
    </row>
    <row r="13">
      <c r="B13" s="29" t="inlineStr">
        <is>
          <t>Summary</t>
        </is>
      </c>
      <c r="D13" s="10" t="inlineStr">
        <is>
          <t>Overview of each month with recommendations, the AI summary, and links to the month tabs.</t>
        </is>
      </c>
    </row>
    <row r="15">
      <c r="B15" s="29" t="inlineStr">
        <is>
          <t>AI review</t>
        </is>
      </c>
      <c r="D15" s="10" t="inlineStr">
        <is>
          <t>The written analysis: summary, normal behaviour, abnormal periods, changes, recommendations and limitations.</t>
        </is>
      </c>
    </row>
    <row r="17">
      <c r="B17" s="29" t="inlineStr">
        <is>
          <t>Dashboard</t>
        </is>
      </c>
      <c r="D17" s="10" t="inlineStr">
        <is>
          <t>Charts: monthly measures, events and extremes, time-of-day heatmap and the daily overview.</t>
        </is>
      </c>
    </row>
    <row r="19">
      <c r="B19" s="29" t="inlineStr">
        <is>
          <t>Month tabs</t>
        </is>
      </c>
      <c r="D19" s="10" t="inlineStr">
        <is>
          <t>● Analysis funnel: extreme share, sustained deviation hours and material changes per day, with the month's rank.</t>
        </is>
      </c>
    </row>
    <row r="20">
      <c r="D20" s="10" t="inlineStr">
        <is>
          <t>● Recommendations with this month vs the best and worst month, and more benchmarks (also day vs night).</t>
        </is>
      </c>
    </row>
    <row r="21">
      <c r="D21" s="10" t="inlineStr">
        <is>
          <t>● A chart of the readings against the normal range, and every event sorted by materiality.</t>
        </is>
      </c>
    </row>
    <row r="23">
      <c r="B23" s="29" t="inlineStr">
        <is>
          <t>Data gaps</t>
        </is>
      </c>
      <c r="D23" s="10" t="inlineStr">
        <is>
          <t>Every break in the data longer than three reading intervals, with the hours missing.</t>
        </is>
      </c>
    </row>
    <row r="25">
      <c r="B25" s="29" t="inlineStr">
        <is>
          <t>Events</t>
        </is>
      </c>
      <c r="D25" s="10" t="inlineStr">
        <is>
          <t>All events in the whole period in one filterable list.</t>
        </is>
      </c>
    </row>
    <row r="27">
      <c r="B27" s="29" t="inlineStr">
        <is>
          <t>Daily overview</t>
        </is>
      </c>
      <c r="D27" s="10" t="inlineStr">
        <is>
          <t>One row per day: readings, value range, extremes, persistent and confirmed periods, changes.</t>
        </is>
      </c>
    </row>
    <row r="29">
      <c r="B29" s="29" t="inlineStr">
        <is>
          <t>Monthly metrics</t>
        </is>
      </c>
      <c r="D29" s="10" t="inlineStr">
        <is>
          <t>The monthly figures behind the Summary and month tabs.</t>
        </is>
      </c>
    </row>
    <row r="31">
      <c r="B31" s="29" t="inlineStr">
        <is>
          <t>Column descriptor</t>
        </is>
      </c>
      <c r="D31" s="10" t="inlineStr">
        <is>
          <t>What every column of the results file means and which parameters drive it.</t>
        </is>
      </c>
    </row>
    <row r="33">
      <c r="B33" s="29" t="inlineStr">
        <is>
          <t>Data</t>
        </is>
      </c>
      <c r="D33" s="10" t="inlineStr">
        <is>
          <t>Not included in this report (option off).</t>
        </is>
      </c>
    </row>
    <row r="35">
      <c r="B35" s="21" t="inlineStr">
        <is>
          <t>How are the results calculated?</t>
        </is>
      </c>
    </row>
    <row r="36">
      <c r="B36" s="26" t="inlineStr">
        <is>
          <t>Each reading is compared with a rolling baseline of the previous readings (Window 20, K_E 2). |Z| ≥ K_E flags an Extreme reading.</t>
        </is>
      </c>
    </row>
    <row r="37">
      <c r="B37" s="26" t="inlineStr">
        <is>
          <t>An event continues while |Z| ≥ K_P; after N_P readings it is Persistent, after N_M readings with mean |Z| ≥ K_M it is a Confirmed/Materialized Shift.</t>
        </is>
      </c>
    </row>
    <row r="38">
      <c r="B38" s="26" t="inlineStr">
        <is>
          <t>The rate of change has its own baseline; |Z_ROC| ≥ ROC_K is an Abnormal Change, and repeats within the frequency window make a Material Change.</t>
        </is>
      </c>
    </row>
    <row r="39">
      <c r="B39" s="26" t="inlineStr">
        <is>
          <t>The Materiality score (0–1) combines size (|Z|), duration and recurrence. Rank 1 = the month with the most issues.</t>
        </is>
      </c>
    </row>
    <row r="40">
      <c r="B40" s="26" t="inlineStr">
        <is>
          <t>Recommendations are rules applied to these figures; they point to what to check, they are not a diagnosis of the equipment.</t>
        </is>
      </c>
    </row>
    <row r="42">
      <c r="B42" s="19" t="inlineStr">
        <is>
          <t>Learn more: info_main\Statistical_calc_parameters\Statistical calc parameters manual.docx</t>
        </is>
      </c>
    </row>
  </sheetData>
  <hyperlinks>
    <hyperlink xmlns:r="http://schemas.openxmlformats.org/officeDocument/2006/relationships" ref="B13" r:id="rId1"/>
    <hyperlink xmlns:r="http://schemas.openxmlformats.org/officeDocument/2006/relationships" ref="B15" r:id="rId2"/>
    <hyperlink xmlns:r="http://schemas.openxmlformats.org/officeDocument/2006/relationships" ref="B17" r:id="rId3"/>
    <hyperlink xmlns:r="http://schemas.openxmlformats.org/officeDocument/2006/relationships" ref="B19" r:id="rId4"/>
    <hyperlink xmlns:r="http://schemas.openxmlformats.org/officeDocument/2006/relationships" ref="B23" r:id="rId5"/>
    <hyperlink xmlns:r="http://schemas.openxmlformats.org/officeDocument/2006/relationships" ref="B25" r:id="rId6"/>
    <hyperlink xmlns:r="http://schemas.openxmlformats.org/officeDocument/2006/relationships" ref="B27" r:id="rId7"/>
    <hyperlink xmlns:r="http://schemas.openxmlformats.org/officeDocument/2006/relationships" ref="B29" r:id="rId8"/>
    <hyperlink xmlns:r="http://schemas.openxmlformats.org/officeDocument/2006/relationships" ref="B31" r:id="rId9"/>
    <hyperlink xmlns:r="http://schemas.openxmlformats.org/officeDocument/2006/relationships" ref="B33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15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0" customHeight="1">
      <c r="B2" s="2" t="inlineStr">
        <is>
          <t>Data gaps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Report generated: 10/09/2026 16:09</t>
        </is>
      </c>
      <c r="K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6">
      <c r="B6" s="26" t="inlineStr">
        <is>
          <t>The analysis expects one reading about every 15 minutes.</t>
        </is>
      </c>
    </row>
    <row r="7">
      <c r="B7" s="26" t="inlineStr">
        <is>
          <t>A gap is any break of more than three reading intervals. No readings, and so no extremes or events, exist inside a gap.</t>
        </is>
      </c>
    </row>
    <row r="8">
      <c r="B8" s="26" t="inlineStr">
        <is>
          <t>This tab lists every gap and the time it covers, so missing data is not mistaken for normal operation.</t>
        </is>
      </c>
    </row>
    <row r="10">
      <c r="B10" s="21" t="inlineStr">
        <is>
          <t>Summary of gaps</t>
        </is>
      </c>
    </row>
    <row r="11">
      <c r="B11" s="26" t="inlineStr">
        <is>
          <t>Number of gaps</t>
        </is>
      </c>
      <c r="D11" s="30" t="n">
        <v>1</v>
      </c>
    </row>
    <row r="12">
      <c r="B12" s="26" t="inlineStr">
        <is>
          <t>Missing time (hours)</t>
        </is>
      </c>
      <c r="D12" s="31" t="n">
        <v>12.25</v>
      </c>
    </row>
    <row r="14">
      <c r="B14" s="22" t="inlineStr">
        <is>
          <t>From (last reading)</t>
        </is>
      </c>
      <c r="C14" s="22" t="inlineStr">
        <is>
          <t>To (next reading)</t>
        </is>
      </c>
      <c r="D14" s="22" t="inlineStr">
        <is>
          <t>Hours missing</t>
        </is>
      </c>
      <c r="E14" s="22" t="inlineStr">
        <is>
          <t>Readings missing (approx.)</t>
        </is>
      </c>
      <c r="F14" s="22" t="inlineStr">
        <is>
          <t>Day/Night at start</t>
        </is>
      </c>
      <c r="G14" s="22" t="inlineStr">
        <is>
          <t>Severity</t>
        </is>
      </c>
      <c r="H14" s="22" t="inlineStr">
        <is>
          <t>Action</t>
        </is>
      </c>
    </row>
    <row r="15">
      <c r="B15" s="32" t="n">
        <v>45875.40625</v>
      </c>
      <c r="C15" s="32" t="n">
        <v>45875.91666666666</v>
      </c>
      <c r="D15" s="25" t="n">
        <v>12.25</v>
      </c>
      <c r="E15" s="33" t="n">
        <v>48</v>
      </c>
      <c r="F15" s="33" t="inlineStr">
        <is>
          <t>Day</t>
        </is>
      </c>
      <c r="G15" s="34" t="inlineStr">
        <is>
          <t>Medium</t>
        </is>
      </c>
      <c r="H15" s="33" t="inlineStr">
        <is>
          <t>Check the logger / network for this period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1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.6" customWidth="1" min="1" max="1"/>
    <col width="18" customWidth="1" min="2" max="2"/>
    <col width="3" customWidth="1" min="3" max="3"/>
    <col width="22" customWidth="1" min="4" max="4"/>
    <col width="3" customWidth="1" min="5" max="5"/>
    <col width="20" customWidth="1" min="6" max="6"/>
    <col width="3" customWidth="1" min="7" max="7"/>
    <col width="4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B2" s="35" t="inlineStr">
        <is>
          <t>We compared each reading with its own rolling baseline using the settings below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36" t="inlineStr">
        <is>
          <t>Rank by mean materiality: 1 of 1 months (1 = most issues)</t>
        </is>
      </c>
      <c r="L2" s="1" t="n"/>
      <c r="M2" s="1" t="n"/>
      <c r="N2" s="1" t="n"/>
      <c r="O2" s="1" t="n"/>
    </row>
    <row r="3">
      <c r="B3" s="36" t="inlineStr">
        <is>
          <t>Sensor: Test Building, AHU 1 (°F),  Period: August 2025,  Value range: 72.5 – 80.4 °F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36" t="inlineStr">
        <is>
          <t>Report generated: 10/09/2026 16:09</t>
        </is>
      </c>
      <c r="L3" s="1" t="n"/>
      <c r="M3" s="1" t="n"/>
      <c r="N3" s="1" t="n"/>
      <c r="O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B5" s="6" t="inlineStr">
        <is>
          <t>&lt; Back to summary worksheet</t>
        </is>
      </c>
    </row>
    <row r="6">
      <c r="B6" s="21" t="inlineStr">
        <is>
          <t>Analysis funnel</t>
        </is>
      </c>
    </row>
    <row r="7">
      <c r="B7" s="37" t="inlineStr">
        <is>
          <t>Readings in this month: 1,296</t>
        </is>
      </c>
      <c r="C7" s="28" t="n"/>
      <c r="D7" s="28" t="n"/>
      <c r="E7" s="28" t="n"/>
      <c r="F7" s="37" t="inlineStr">
        <is>
          <t>vs other months (1)</t>
        </is>
      </c>
      <c r="H7" s="38" t="inlineStr">
        <is>
          <t>Recommendations to improve</t>
        </is>
      </c>
      <c r="I7" s="7" t="n"/>
      <c r="J7" s="7" t="n"/>
      <c r="K7" s="7" t="n"/>
      <c r="L7" s="38" t="inlineStr">
        <is>
          <t>Why have we recommended this?</t>
        </is>
      </c>
      <c r="M7" s="7" t="n"/>
      <c r="N7" s="7" t="n"/>
      <c r="O7" s="7" t="n"/>
    </row>
    <row r="9">
      <c r="D9" s="39" t="inlineStr">
        <is>
          <t xml:space="preserve">   Extreme readings</t>
        </is>
      </c>
      <c r="E9" s="40" t="n"/>
      <c r="F9" s="40" t="n"/>
      <c r="I9" s="41" t="inlineStr">
        <is>
          <t>This month</t>
        </is>
      </c>
      <c r="J9" s="41" t="inlineStr">
        <is>
          <t>Best month</t>
        </is>
      </c>
      <c r="K9" s="41" t="inlineStr">
        <is>
          <t>Worst month</t>
        </is>
      </c>
    </row>
    <row r="10" ht="26" customHeight="1">
      <c r="D10" s="42" t="inlineStr">
        <is>
          <t>Share of readings</t>
        </is>
      </c>
      <c r="E10" s="43" t="n"/>
      <c r="F10" s="42" t="inlineStr">
        <is>
          <t>Rank vs other months</t>
        </is>
      </c>
      <c r="H10" s="44" t="inlineStr">
        <is>
          <t>● Review what changed when the level shifted</t>
        </is>
      </c>
      <c r="I10" s="45" t="n">
        <v>0.1921296296296296</v>
      </c>
      <c r="J10" s="46" t="n">
        <v>0.1921296296296296</v>
      </c>
      <c r="K10" s="46" t="n">
        <v>0.1921296296296296</v>
      </c>
      <c r="L10" s="47" t="inlineStr">
        <is>
          <t>Confirmed shift share: 19% of readings (62 h). The value stayed away from its baseline for N_M readings in a row with a high mean |Z| - check setpoint or schedule changes, sensor drift or an equipment fault.</t>
        </is>
      </c>
    </row>
    <row r="11" ht="24" customHeight="1">
      <c r="D11" s="48" t="n">
        <v>0.1898148148148148</v>
      </c>
      <c r="E11" s="43" t="n"/>
      <c r="F11" s="49" t="n">
        <v>1</v>
      </c>
      <c r="H11" s="50" t="n"/>
    </row>
    <row r="13">
      <c r="D13" s="39" t="inlineStr">
        <is>
          <t xml:space="preserve">   Sustained deviations</t>
        </is>
      </c>
      <c r="E13" s="40" t="n"/>
      <c r="F13" s="40" t="n"/>
      <c r="H13" s="44" t="inlineStr">
        <is>
          <t>● Consider a longer baseline window</t>
        </is>
      </c>
      <c r="I13" s="51" t="n">
        <v>0.1898148148148148</v>
      </c>
      <c r="J13" s="46" t="n">
        <v>0.1898148148148148</v>
      </c>
      <c r="K13" s="46" t="n">
        <v>0.1898148148148148</v>
      </c>
      <c r="L13" s="47" t="inlineStr">
        <is>
          <t>Extreme share is 19% of readings, well above the ~5% expected at K_E = 2. A longer Window (96 = 24 h) or a higher K_E would flag fewer routine swings.</t>
        </is>
      </c>
    </row>
    <row r="14" ht="26" customHeight="1">
      <c r="D14" s="42" t="inlineStr">
        <is>
          <t>Hours (Persistent + Confirmed)</t>
        </is>
      </c>
      <c r="E14" s="43" t="n"/>
      <c r="F14" s="42" t="inlineStr">
        <is>
          <t>Rank vs other months</t>
        </is>
      </c>
      <c r="H14" s="50" t="n"/>
    </row>
    <row r="15" ht="24" customHeight="1">
      <c r="D15" s="52" t="n">
        <v>89.75</v>
      </c>
      <c r="E15" s="43" t="n"/>
      <c r="F15" s="49" t="n">
        <v>1</v>
      </c>
    </row>
    <row r="16">
      <c r="H16" s="44" t="inlineStr">
        <is>
          <t>● Fix the data gaps</t>
        </is>
      </c>
      <c r="I16" s="53" t="n">
        <v>12.25</v>
      </c>
      <c r="J16" s="54" t="n">
        <v>12.25</v>
      </c>
      <c r="K16" s="54" t="n">
        <v>12.25</v>
      </c>
      <c r="L16" s="47" t="inlineStr">
        <is>
          <t>Missing data: 12.2 h in gaps longer than three reading intervals. Events inside a gap cannot be detected.</t>
        </is>
      </c>
    </row>
    <row r="17">
      <c r="D17" s="39" t="inlineStr">
        <is>
          <t xml:space="preserve">   Material changes</t>
        </is>
      </c>
      <c r="E17" s="40" t="n"/>
      <c r="F17" s="40" t="n"/>
      <c r="H17" s="50" t="n"/>
    </row>
    <row r="18" ht="26" customHeight="1">
      <c r="D18" s="42" t="inlineStr">
        <is>
          <t>Per day</t>
        </is>
      </c>
      <c r="E18" s="43" t="n"/>
      <c r="F18" s="42" t="inlineStr">
        <is>
          <t>Rank vs other months</t>
        </is>
      </c>
    </row>
    <row r="19" ht="24" customHeight="1">
      <c r="D19" s="52" t="n">
        <v>1.928571428571429</v>
      </c>
      <c r="E19" s="43" t="n"/>
      <c r="F19" s="49" t="n">
        <v>1</v>
      </c>
    </row>
    <row r="23">
      <c r="B23" s="21" t="inlineStr">
        <is>
          <t>More benchmarks</t>
        </is>
      </c>
    </row>
    <row r="24" ht="26" customHeight="1">
      <c r="H24" s="55" t="inlineStr">
        <is>
          <t>Measure</t>
        </is>
      </c>
      <c r="I24" s="55" t="inlineStr">
        <is>
          <t>This month</t>
        </is>
      </c>
      <c r="J24" s="55" t="inlineStr">
        <is>
          <t>Best month</t>
        </is>
      </c>
      <c r="K24" s="55" t="inlineStr">
        <is>
          <t>Worst month</t>
        </is>
      </c>
      <c r="L24" s="55" t="inlineStr">
        <is>
          <t>Whole period</t>
        </is>
      </c>
      <c r="M24" s="55" t="inlineStr">
        <is>
          <t>This month – Day</t>
        </is>
      </c>
      <c r="N24" s="55" t="inlineStr">
        <is>
          <t>This month – Night</t>
        </is>
      </c>
    </row>
    <row r="25">
      <c r="H25" s="14" t="inlineStr">
        <is>
          <t>Mean value</t>
        </is>
      </c>
      <c r="I25" s="56" t="n">
        <v>77.41827160493828</v>
      </c>
      <c r="J25" s="57" t="n">
        <v>77.41827160493828</v>
      </c>
      <c r="K25" s="57" t="n">
        <v>77.41827160493828</v>
      </c>
      <c r="L25" s="57" t="n">
        <v>77.41827160493828</v>
      </c>
      <c r="M25" s="57" t="n">
        <v>75.8474213836478</v>
      </c>
      <c r="N25" s="57" t="n">
        <v>78.93200000000002</v>
      </c>
    </row>
    <row r="26">
      <c r="H26" s="14" t="inlineStr">
        <is>
          <t>Min value</t>
        </is>
      </c>
      <c r="I26" s="56" t="n">
        <v>72.52000000000001</v>
      </c>
      <c r="J26" s="57" t="n">
        <v>72.52000000000001</v>
      </c>
      <c r="K26" s="57" t="n">
        <v>72.52000000000001</v>
      </c>
      <c r="L26" s="57" t="n">
        <v>72.52000000000001</v>
      </c>
      <c r="M26" s="57" t="n">
        <v>74.48</v>
      </c>
      <c r="N26" s="57" t="n">
        <v>72.52000000000001</v>
      </c>
    </row>
    <row r="27">
      <c r="H27" s="14" t="inlineStr">
        <is>
          <t>Max value</t>
        </is>
      </c>
      <c r="I27" s="56" t="n">
        <v>80.36000000000001</v>
      </c>
      <c r="J27" s="57" t="n">
        <v>80.36000000000001</v>
      </c>
      <c r="K27" s="57" t="n">
        <v>80.36000000000001</v>
      </c>
      <c r="L27" s="57" t="n">
        <v>80.36000000000001</v>
      </c>
      <c r="M27" s="57" t="n">
        <v>80.36000000000001</v>
      </c>
      <c r="N27" s="57" t="n">
        <v>80.36000000000001</v>
      </c>
    </row>
    <row r="28">
      <c r="H28" s="14" t="inlineStr">
        <is>
          <t>Extreme share</t>
        </is>
      </c>
      <c r="I28" s="58" t="n">
        <v>0.1898148148148148</v>
      </c>
      <c r="J28" s="59" t="n">
        <v>0.1898148148148148</v>
      </c>
      <c r="K28" s="59" t="n">
        <v>0.1898148148148148</v>
      </c>
      <c r="L28" s="59" t="n">
        <v>0.1898148148148148</v>
      </c>
      <c r="M28" s="59" t="n">
        <v>0.1808176100628931</v>
      </c>
      <c r="N28" s="59" t="n">
        <v>0.1984848484848485</v>
      </c>
    </row>
    <row r="29">
      <c r="H29" s="14" t="inlineStr">
        <is>
          <t>Upper extremes</t>
        </is>
      </c>
      <c r="I29" s="60" t="n">
        <v>133</v>
      </c>
      <c r="J29" s="61" t="n">
        <v>133</v>
      </c>
      <c r="K29" s="61" t="n">
        <v>133</v>
      </c>
      <c r="L29" s="61" t="n">
        <v>133</v>
      </c>
      <c r="M29" s="61" t="n">
        <v>9</v>
      </c>
      <c r="N29" s="61" t="n">
        <v>124</v>
      </c>
    </row>
    <row r="30">
      <c r="H30" s="14" t="inlineStr">
        <is>
          <t>Lower extremes</t>
        </is>
      </c>
      <c r="I30" s="60" t="n">
        <v>113</v>
      </c>
      <c r="J30" s="61" t="n">
        <v>113</v>
      </c>
      <c r="K30" s="61" t="n">
        <v>113</v>
      </c>
      <c r="L30" s="61" t="n">
        <v>113</v>
      </c>
      <c r="M30" s="61" t="n">
        <v>106</v>
      </c>
      <c r="N30" s="61" t="n">
        <v>7</v>
      </c>
    </row>
    <row r="31">
      <c r="H31" s="14" t="inlineStr">
        <is>
          <t>Sustained deviation (h)</t>
        </is>
      </c>
      <c r="I31" s="62" t="n">
        <v>89.75</v>
      </c>
      <c r="J31" s="63" t="n">
        <v>89.75</v>
      </c>
      <c r="K31" s="63" t="n">
        <v>89.75</v>
      </c>
      <c r="L31" s="63" t="n">
        <v>89.75</v>
      </c>
      <c r="M31" s="63" t="n">
        <v>39.5</v>
      </c>
      <c r="N31" s="63" t="n">
        <v>50.25</v>
      </c>
    </row>
    <row r="32">
      <c r="H32" s="14" t="inlineStr">
        <is>
          <t>Confirmed share</t>
        </is>
      </c>
      <c r="I32" s="58" t="n">
        <v>0.1921296296296296</v>
      </c>
      <c r="J32" s="59" t="n">
        <v>0.1921296296296296</v>
      </c>
      <c r="K32" s="59" t="n">
        <v>0.1921296296296296</v>
      </c>
      <c r="L32" s="59" t="n">
        <v>0.1921296296296296</v>
      </c>
      <c r="M32" s="59" t="n">
        <v>0.160377358490566</v>
      </c>
      <c r="N32" s="59" t="n">
        <v>0.2227272727272727</v>
      </c>
    </row>
    <row r="33">
      <c r="H33" s="14" t="inlineStr">
        <is>
          <t>Material changes per day</t>
        </is>
      </c>
      <c r="I33" s="62" t="n">
        <v>1.928571428571429</v>
      </c>
      <c r="J33" s="63" t="n">
        <v>1.928571428571429</v>
      </c>
      <c r="K33" s="63" t="n">
        <v>1.928571428571429</v>
      </c>
      <c r="L33" s="63" t="n">
        <v>1.928571428571429</v>
      </c>
      <c r="M33" s="63" t="inlineStr">
        <is>
          <t>Not relevant</t>
        </is>
      </c>
      <c r="N33" s="63" t="inlineStr">
        <is>
          <t>Not relevant</t>
        </is>
      </c>
    </row>
    <row r="34">
      <c r="H34" s="14" t="inlineStr">
        <is>
          <t>Mean materiality score</t>
        </is>
      </c>
      <c r="I34" s="64" t="n">
        <v>0.1981453703703704</v>
      </c>
      <c r="J34" s="65" t="n">
        <v>0.1981453703703704</v>
      </c>
      <c r="K34" s="65" t="n">
        <v>0.1981453703703704</v>
      </c>
      <c r="L34" s="65" t="n">
        <v>0.1981453703703704</v>
      </c>
      <c r="M34" s="65" t="n">
        <v>0.1848518867924528</v>
      </c>
      <c r="N34" s="65" t="n">
        <v>0.2109554545454545</v>
      </c>
    </row>
    <row r="35">
      <c r="H35" s="14" t="inlineStr">
        <is>
          <t>Max |Z|</t>
        </is>
      </c>
      <c r="I35" s="56" t="n">
        <v>4.248529157249441</v>
      </c>
      <c r="J35" s="57" t="n">
        <v>4.248529157249441</v>
      </c>
      <c r="K35" s="57" t="n">
        <v>4.248529157249441</v>
      </c>
      <c r="L35" s="57" t="n">
        <v>4.248529157249441</v>
      </c>
      <c r="M35" s="57" t="n">
        <v>4.248529157249441</v>
      </c>
      <c r="N35" s="57" t="n">
        <v>3.400575636094243</v>
      </c>
    </row>
    <row r="36">
      <c r="H36" s="14" t="inlineStr">
        <is>
          <t>Data gap hours</t>
        </is>
      </c>
      <c r="I36" s="62" t="n">
        <v>12.25</v>
      </c>
      <c r="J36" s="63" t="n">
        <v>12.25</v>
      </c>
      <c r="K36" s="63" t="n">
        <v>12.25</v>
      </c>
      <c r="L36" s="63" t="n">
        <v>12.25</v>
      </c>
      <c r="M36" s="63" t="inlineStr">
        <is>
          <t>Not relevant</t>
        </is>
      </c>
      <c r="N36" s="63" t="inlineStr">
        <is>
          <t>Not relevant</t>
        </is>
      </c>
    </row>
    <row r="38">
      <c r="H38" s="19" t="inlineStr">
        <is>
          <t>* Best = lowest month, Worst = highest month for each measure (for Mean/Min/Max value: simply the lowest and highest month).</t>
        </is>
      </c>
    </row>
    <row r="39">
      <c r="H39" s="19" t="inlineStr">
        <is>
          <t>* With a 20-reading rolling window |Z| cannot exceed (W−1)/√W = 4.25, so Max |Z| is similar in every month; use Extreme share and the events instead.</t>
        </is>
      </c>
    </row>
    <row r="40">
      <c r="H40" s="19" t="inlineStr">
        <is>
          <t>* Settings detected in the results: Window 20, K_E 2.</t>
        </is>
      </c>
    </row>
    <row r="42">
      <c r="B42" s="21" t="inlineStr">
        <is>
          <t>Readings against the normal range</t>
        </is>
      </c>
    </row>
    <row r="43">
      <c r="B43" s="19" t="inlineStr">
        <is>
          <t>Grey band = normal range (moving average ± K_E·σ). Dots outside it are Extreme readings: orange = upper, blue = lower.</t>
        </is>
      </c>
    </row>
    <row r="68">
      <c r="B68" s="21" t="inlineStr">
        <is>
          <t>Events in this month</t>
        </is>
      </c>
    </row>
    <row r="69">
      <c r="B69" s="6" t="inlineStr">
        <is>
          <t>View all events</t>
        </is>
      </c>
    </row>
    <row r="70">
      <c r="B70" s="19" t="inlineStr">
        <is>
          <t>* Sorted by materiality score (highest first). Action: Investigate = Confirmed shift, Review = Persistent, Monitor = shorter events.</t>
        </is>
      </c>
    </row>
    <row r="72">
      <c r="B72" s="66" t="inlineStr">
        <is>
          <t>Start</t>
        </is>
      </c>
      <c r="D72" s="66" t="inlineStr">
        <is>
          <t>End</t>
        </is>
      </c>
      <c r="F72" s="66" t="inlineStr">
        <is>
          <t>Duration (h)</t>
        </is>
      </c>
      <c r="H72" s="66" t="inlineStr">
        <is>
          <t>Highest state</t>
        </is>
      </c>
      <c r="I72" s="66" t="inlineStr">
        <is>
          <t>Direction</t>
        </is>
      </c>
      <c r="J72" s="66" t="inlineStr">
        <is>
          <t>Peak value</t>
        </is>
      </c>
      <c r="K72" s="66" t="inlineStr">
        <is>
          <t>Max |Z|</t>
        </is>
      </c>
      <c r="L72" s="66" t="inlineStr">
        <is>
          <t>Mean |Z|</t>
        </is>
      </c>
      <c r="M72" s="66" t="inlineStr">
        <is>
          <t>Max materiality</t>
        </is>
      </c>
      <c r="N72" s="66" t="inlineStr">
        <is>
          <t>Day/Night</t>
        </is>
      </c>
      <c r="O72" s="66" t="inlineStr">
        <is>
          <t>Action</t>
        </is>
      </c>
    </row>
    <row r="73">
      <c r="B73" s="67" t="n">
        <v>45876.80208333334</v>
      </c>
      <c r="D73" s="67" t="n">
        <v>45876.96875</v>
      </c>
      <c r="F73" s="54" t="n">
        <v>4.25</v>
      </c>
      <c r="H73" s="26" t="inlineStr">
        <is>
          <t>Confirmed/Materialized Shift</t>
        </is>
      </c>
      <c r="I73" s="26" t="inlineStr">
        <is>
          <t>upper</t>
        </is>
      </c>
      <c r="J73" s="68" t="n">
        <v>80.36000000000001</v>
      </c>
      <c r="K73" s="68" t="n">
        <v>3.273802870494145</v>
      </c>
      <c r="L73" s="68" t="n">
        <v>2.158726509969929</v>
      </c>
      <c r="M73" s="69" t="n">
        <v>0.6466</v>
      </c>
      <c r="N73" s="26" t="inlineStr">
        <is>
          <t>Night</t>
        </is>
      </c>
      <c r="O73" s="70" t="inlineStr">
        <is>
          <t>Investigate</t>
        </is>
      </c>
    </row>
    <row r="74">
      <c r="B74" s="67" t="n">
        <v>45881.34375</v>
      </c>
      <c r="D74" s="67" t="n">
        <v>45881.48958333334</v>
      </c>
      <c r="F74" s="54" t="n">
        <v>3.75</v>
      </c>
      <c r="H74" s="26" t="inlineStr">
        <is>
          <t>Confirmed/Materialized Shift</t>
        </is>
      </c>
      <c r="I74" s="26" t="inlineStr">
        <is>
          <t>lower</t>
        </is>
      </c>
      <c r="J74" s="68" t="n">
        <v>74.76000000000001</v>
      </c>
      <c r="K74" s="68" t="n">
        <v>3.455843911799609</v>
      </c>
      <c r="L74" s="68" t="n">
        <v>2.091030249053951</v>
      </c>
      <c r="M74" s="69" t="n">
        <v>0.6422</v>
      </c>
      <c r="N74" s="26" t="inlineStr">
        <is>
          <t>Day</t>
        </is>
      </c>
      <c r="O74" s="70" t="inlineStr">
        <is>
          <t>Investigate</t>
        </is>
      </c>
    </row>
    <row r="75">
      <c r="B75" s="67" t="n">
        <v>45873.80208333334</v>
      </c>
      <c r="D75" s="67" t="n">
        <v>45873.97916666666</v>
      </c>
      <c r="F75" s="54" t="n">
        <v>4.5</v>
      </c>
      <c r="H75" s="26" t="inlineStr">
        <is>
          <t>Confirmed/Materialized Shift</t>
        </is>
      </c>
      <c r="I75" s="26" t="inlineStr">
        <is>
          <t>upper</t>
        </is>
      </c>
      <c r="J75" s="68" t="n">
        <v>80.36000000000001</v>
      </c>
      <c r="K75" s="68" t="n">
        <v>3.153685874848949</v>
      </c>
      <c r="L75" s="68" t="n">
        <v>2.085635223329589</v>
      </c>
      <c r="M75" s="69" t="n">
        <v>0.6399</v>
      </c>
      <c r="N75" s="26" t="inlineStr">
        <is>
          <t>Night</t>
        </is>
      </c>
      <c r="O75" s="70" t="inlineStr">
        <is>
          <t>Investigate</t>
        </is>
      </c>
    </row>
    <row r="76">
      <c r="B76" s="67" t="n">
        <v>45877.35416666666</v>
      </c>
      <c r="D76" s="67" t="n">
        <v>45877.47916666666</v>
      </c>
      <c r="F76" s="54" t="n">
        <v>3.25</v>
      </c>
      <c r="H76" s="26" t="inlineStr">
        <is>
          <t>Confirmed/Materialized Shift</t>
        </is>
      </c>
      <c r="I76" s="26" t="inlineStr">
        <is>
          <t>lower</t>
        </is>
      </c>
      <c r="J76" s="68" t="n">
        <v>74.76000000000001</v>
      </c>
      <c r="K76" s="68" t="n">
        <v>3.446978869462412</v>
      </c>
      <c r="L76" s="68" t="n">
        <v>2.173902058475388</v>
      </c>
      <c r="M76" s="69" t="n">
        <v>0.6345</v>
      </c>
      <c r="N76" s="26" t="inlineStr">
        <is>
          <t>Day</t>
        </is>
      </c>
      <c r="O76" s="70" t="inlineStr">
        <is>
          <t>Investigate</t>
        </is>
      </c>
    </row>
    <row r="77">
      <c r="B77" s="67" t="n">
        <v>45878.80208333334</v>
      </c>
      <c r="D77" s="67" t="n">
        <v>45878.98958333334</v>
      </c>
      <c r="F77" s="54" t="n">
        <v>4.75</v>
      </c>
      <c r="H77" s="26" t="inlineStr">
        <is>
          <t>Confirmed/Materialized Shift</t>
        </is>
      </c>
      <c r="I77" s="26" t="inlineStr">
        <is>
          <t>upper</t>
        </is>
      </c>
      <c r="J77" s="68" t="n">
        <v>79.52000000000001</v>
      </c>
      <c r="K77" s="68" t="n">
        <v>3.140920982012595</v>
      </c>
      <c r="L77" s="68" t="n">
        <v>2.085733211340917</v>
      </c>
      <c r="M77" s="69" t="n">
        <v>0.6252</v>
      </c>
      <c r="N77" s="26" t="inlineStr">
        <is>
          <t>Night</t>
        </is>
      </c>
      <c r="O77" s="70" t="inlineStr">
        <is>
          <t>Investigate</t>
        </is>
      </c>
    </row>
    <row r="78">
      <c r="B78" s="67" t="n">
        <v>45870.8125</v>
      </c>
      <c r="D78" s="67" t="n">
        <v>45870.97916666666</v>
      </c>
      <c r="F78" s="54" t="n">
        <v>4.25</v>
      </c>
      <c r="H78" s="26" t="inlineStr">
        <is>
          <t>Confirmed/Materialized Shift</t>
        </is>
      </c>
      <c r="I78" s="26" t="inlineStr">
        <is>
          <t>upper</t>
        </is>
      </c>
      <c r="J78" s="68" t="n">
        <v>80.08000000000001</v>
      </c>
      <c r="K78" s="68" t="n">
        <v>3.400575636094243</v>
      </c>
      <c r="L78" s="68" t="n">
        <v>2.101376912343675</v>
      </c>
      <c r="M78" s="69" t="n">
        <v>0.6206</v>
      </c>
      <c r="N78" s="26" t="inlineStr">
        <is>
          <t>Night</t>
        </is>
      </c>
      <c r="O78" s="70" t="inlineStr">
        <is>
          <t>Investigate</t>
        </is>
      </c>
    </row>
    <row r="79">
      <c r="B79" s="67" t="n">
        <v>45873.34375</v>
      </c>
      <c r="D79" s="67" t="n">
        <v>45873.48958333334</v>
      </c>
      <c r="F79" s="54" t="n">
        <v>3.75</v>
      </c>
      <c r="H79" s="26" t="inlineStr">
        <is>
          <t>Confirmed/Materialized Shift</t>
        </is>
      </c>
      <c r="I79" s="26" t="inlineStr">
        <is>
          <t>lower</t>
        </is>
      </c>
      <c r="J79" s="68" t="n">
        <v>74.76000000000001</v>
      </c>
      <c r="K79" s="68" t="n">
        <v>3.430523906293234</v>
      </c>
      <c r="L79" s="68" t="n">
        <v>2.170663523960913</v>
      </c>
      <c r="M79" s="69" t="n">
        <v>0.6142</v>
      </c>
      <c r="N79" s="26" t="inlineStr">
        <is>
          <t>Day</t>
        </is>
      </c>
      <c r="O79" s="70" t="inlineStr">
        <is>
          <t>Investigate</t>
        </is>
      </c>
    </row>
    <row r="80">
      <c r="B80" s="67" t="n">
        <v>45872.34375</v>
      </c>
      <c r="D80" s="67" t="n">
        <v>45872.48958333334</v>
      </c>
      <c r="F80" s="54" t="n">
        <v>3.75</v>
      </c>
      <c r="H80" s="26" t="inlineStr">
        <is>
          <t>Confirmed/Materialized Shift</t>
        </is>
      </c>
      <c r="I80" s="26" t="inlineStr">
        <is>
          <t>lower</t>
        </is>
      </c>
      <c r="J80" s="68" t="n">
        <v>74.48</v>
      </c>
      <c r="K80" s="68" t="n">
        <v>3.556284071622247</v>
      </c>
      <c r="L80" s="68" t="n">
        <v>2.135003097966681</v>
      </c>
      <c r="M80" s="69" t="n">
        <v>0.613</v>
      </c>
      <c r="N80" s="26" t="inlineStr">
        <is>
          <t>Day</t>
        </is>
      </c>
      <c r="O80" s="70" t="inlineStr">
        <is>
          <t>Investigate</t>
        </is>
      </c>
    </row>
    <row r="81">
      <c r="B81" s="67" t="n">
        <v>45883.34375</v>
      </c>
      <c r="D81" s="67" t="n">
        <v>45883.48958333334</v>
      </c>
      <c r="F81" s="54" t="n">
        <v>3.75</v>
      </c>
      <c r="H81" s="26" t="inlineStr">
        <is>
          <t>Confirmed/Materialized Shift</t>
        </is>
      </c>
      <c r="I81" s="26" t="inlineStr">
        <is>
          <t>lower</t>
        </is>
      </c>
      <c r="J81" s="68" t="n">
        <v>74.48</v>
      </c>
      <c r="K81" s="68" t="n">
        <v>3.57382459308657</v>
      </c>
      <c r="L81" s="68" t="n">
        <v>2.129269043556959</v>
      </c>
      <c r="M81" s="69" t="n">
        <v>0.6118</v>
      </c>
      <c r="N81" s="26" t="inlineStr">
        <is>
          <t>Day</t>
        </is>
      </c>
      <c r="O81" s="70" t="inlineStr">
        <is>
          <t>Investigate</t>
        </is>
      </c>
    </row>
    <row r="82">
      <c r="B82" s="67" t="n">
        <v>45880.34375</v>
      </c>
      <c r="D82" s="67" t="n">
        <v>45880.46875</v>
      </c>
      <c r="F82" s="54" t="n">
        <v>3.25</v>
      </c>
      <c r="H82" s="26" t="inlineStr">
        <is>
          <t>Confirmed/Materialized Shift</t>
        </is>
      </c>
      <c r="I82" s="26" t="inlineStr">
        <is>
          <t>lower</t>
        </is>
      </c>
      <c r="J82" s="68" t="n">
        <v>74.48</v>
      </c>
      <c r="K82" s="68" t="n">
        <v>3.281052816118156</v>
      </c>
      <c r="L82" s="68" t="n">
        <v>2.306519976944747</v>
      </c>
      <c r="M82" s="69" t="n">
        <v>0.611</v>
      </c>
      <c r="N82" s="26" t="inlineStr">
        <is>
          <t>Day</t>
        </is>
      </c>
      <c r="O82" s="70" t="inlineStr">
        <is>
          <t>Investigate</t>
        </is>
      </c>
    </row>
    <row r="83">
      <c r="B83" s="67" t="n">
        <v>45870.35416666666</v>
      </c>
      <c r="D83" s="67" t="n">
        <v>45870.46875</v>
      </c>
      <c r="F83" s="54" t="n">
        <v>3</v>
      </c>
      <c r="H83" s="26" t="inlineStr">
        <is>
          <t>Confirmed/Materialized Shift</t>
        </is>
      </c>
      <c r="I83" s="26" t="inlineStr">
        <is>
          <t>lower</t>
        </is>
      </c>
      <c r="J83" s="68" t="n">
        <v>74.76000000000001</v>
      </c>
      <c r="K83" s="68" t="n">
        <v>3.445044550809249</v>
      </c>
      <c r="L83" s="68" t="n">
        <v>2.294681688936139</v>
      </c>
      <c r="M83" s="69" t="n">
        <v>0.6102</v>
      </c>
      <c r="N83" s="26" t="inlineStr">
        <is>
          <t>Day</t>
        </is>
      </c>
      <c r="O83" s="70" t="inlineStr">
        <is>
          <t>Investigate</t>
        </is>
      </c>
    </row>
    <row r="84">
      <c r="B84" s="67" t="n">
        <v>45882.80208333334</v>
      </c>
      <c r="D84" s="67" t="n">
        <v>45882.97916666666</v>
      </c>
      <c r="F84" s="54" t="n">
        <v>4.5</v>
      </c>
      <c r="H84" s="26" t="inlineStr">
        <is>
          <t>Confirmed/Materialized Shift</t>
        </is>
      </c>
      <c r="I84" s="26" t="inlineStr">
        <is>
          <t>upper</t>
        </is>
      </c>
      <c r="J84" s="68" t="n">
        <v>80.08000000000001</v>
      </c>
      <c r="K84" s="68" t="n">
        <v>3.098724234036842</v>
      </c>
      <c r="L84" s="68" t="n">
        <v>2.064494288964354</v>
      </c>
      <c r="M84" s="69" t="n">
        <v>0.6091</v>
      </c>
      <c r="N84" s="26" t="inlineStr">
        <is>
          <t>Night</t>
        </is>
      </c>
      <c r="O84" s="70" t="inlineStr">
        <is>
          <t>Investigate</t>
        </is>
      </c>
    </row>
    <row r="85">
      <c r="B85" s="67" t="n">
        <v>45871.8125</v>
      </c>
      <c r="D85" s="67" t="n">
        <v>45871.96875</v>
      </c>
      <c r="F85" s="54" t="n">
        <v>4</v>
      </c>
      <c r="H85" s="26" t="inlineStr">
        <is>
          <t>Confirmed/Materialized Shift</t>
        </is>
      </c>
      <c r="I85" s="26" t="inlineStr">
        <is>
          <t>upper</t>
        </is>
      </c>
      <c r="J85" s="68" t="n">
        <v>80.08000000000001</v>
      </c>
      <c r="K85" s="68" t="n">
        <v>3.073988985675605</v>
      </c>
      <c r="L85" s="68" t="n">
        <v>2.080045706187442</v>
      </c>
      <c r="M85" s="69" t="n">
        <v>0.6044</v>
      </c>
      <c r="N85" s="26" t="inlineStr">
        <is>
          <t>Night</t>
        </is>
      </c>
      <c r="O85" s="70" t="inlineStr">
        <is>
          <t>Investigate</t>
        </is>
      </c>
    </row>
    <row r="86">
      <c r="B86" s="67" t="n">
        <v>45877.80208333334</v>
      </c>
      <c r="D86" s="67" t="n">
        <v>45877.98958333334</v>
      </c>
      <c r="F86" s="54" t="n">
        <v>4.75</v>
      </c>
      <c r="H86" s="26" t="inlineStr">
        <is>
          <t>Confirmed/Materialized Shift</t>
        </is>
      </c>
      <c r="I86" s="26" t="inlineStr">
        <is>
          <t>upper</t>
        </is>
      </c>
      <c r="J86" s="68" t="n">
        <v>80.36000000000001</v>
      </c>
      <c r="K86" s="68" t="n">
        <v>3.273802870491065</v>
      </c>
      <c r="L86" s="68" t="n">
        <v>2.029294423353637</v>
      </c>
      <c r="M86" s="69" t="n">
        <v>0.6007</v>
      </c>
      <c r="N86" s="26" t="inlineStr">
        <is>
          <t>Night</t>
        </is>
      </c>
      <c r="O86" s="70" t="inlineStr">
        <is>
          <t>Investigate</t>
        </is>
      </c>
    </row>
    <row r="87">
      <c r="B87" s="67" t="n">
        <v>45879.80208333334</v>
      </c>
      <c r="D87" s="67" t="n">
        <v>45879.96875</v>
      </c>
      <c r="F87" s="54" t="n">
        <v>4.25</v>
      </c>
      <c r="H87" s="26" t="inlineStr">
        <is>
          <t>Confirmed/Materialized Shift</t>
        </is>
      </c>
      <c r="I87" s="26" t="inlineStr">
        <is>
          <t>upper</t>
        </is>
      </c>
      <c r="J87" s="68" t="n">
        <v>80.36000000000001</v>
      </c>
      <c r="K87" s="68" t="n">
        <v>3.273802870492878</v>
      </c>
      <c r="L87" s="68" t="n">
        <v>2.150542860533831</v>
      </c>
      <c r="M87" s="69" t="n">
        <v>0.5969</v>
      </c>
      <c r="N87" s="26" t="inlineStr">
        <is>
          <t>Night</t>
        </is>
      </c>
      <c r="O87" s="70" t="inlineStr">
        <is>
          <t>Investigate</t>
        </is>
      </c>
    </row>
    <row r="88">
      <c r="B88" s="67" t="n">
        <v>45875.34375</v>
      </c>
      <c r="D88" s="67" t="n">
        <v>45875.40625</v>
      </c>
      <c r="F88" s="54" t="n">
        <v>1.75</v>
      </c>
      <c r="H88" s="26" t="inlineStr">
        <is>
          <t>Confirmed/Materialized Shift</t>
        </is>
      </c>
      <c r="I88" s="26" t="inlineStr">
        <is>
          <t>lower</t>
        </is>
      </c>
      <c r="J88" s="68" t="n">
        <v>75.32000000000001</v>
      </c>
      <c r="K88" s="68" t="n">
        <v>3.205030767736083</v>
      </c>
      <c r="L88" s="68" t="n">
        <v>2.852012657200274</v>
      </c>
      <c r="M88" s="69" t="n">
        <v>0.5957</v>
      </c>
      <c r="N88" s="26" t="inlineStr">
        <is>
          <t>Day</t>
        </is>
      </c>
      <c r="O88" s="70" t="inlineStr">
        <is>
          <t>Investigate</t>
        </is>
      </c>
    </row>
    <row r="89">
      <c r="B89" s="67" t="n">
        <v>45878.34375</v>
      </c>
      <c r="D89" s="67" t="n">
        <v>45878.48958333334</v>
      </c>
      <c r="F89" s="54" t="n">
        <v>3.75</v>
      </c>
      <c r="H89" s="26" t="inlineStr">
        <is>
          <t>Confirmed/Materialized Shift</t>
        </is>
      </c>
      <c r="I89" s="26" t="inlineStr">
        <is>
          <t>lower</t>
        </is>
      </c>
      <c r="J89" s="68" t="n">
        <v>74.76000000000001</v>
      </c>
      <c r="K89" s="68" t="n">
        <v>3.459768778392331</v>
      </c>
      <c r="L89" s="68" t="n">
        <v>2.11010289097039</v>
      </c>
      <c r="M89" s="69" t="n">
        <v>0.5951</v>
      </c>
      <c r="N89" s="26" t="inlineStr">
        <is>
          <t>Day</t>
        </is>
      </c>
      <c r="O89" s="70" t="inlineStr">
        <is>
          <t>Investigate</t>
        </is>
      </c>
    </row>
    <row r="90">
      <c r="B90" s="67" t="n">
        <v>45880.8125</v>
      </c>
      <c r="D90" s="67" t="n">
        <v>45880.97916666666</v>
      </c>
      <c r="F90" s="54" t="n">
        <v>4.25</v>
      </c>
      <c r="H90" s="26" t="inlineStr">
        <is>
          <t>Confirmed/Materialized Shift</t>
        </is>
      </c>
      <c r="I90" s="26" t="inlineStr">
        <is>
          <t>upper</t>
        </is>
      </c>
      <c r="J90" s="68" t="n">
        <v>80.08000000000001</v>
      </c>
      <c r="K90" s="68" t="n">
        <v>3.199997301376236</v>
      </c>
      <c r="L90" s="68" t="n">
        <v>2.057707935728297</v>
      </c>
      <c r="M90" s="69" t="n">
        <v>0.5943000000000001</v>
      </c>
      <c r="N90" s="26" t="inlineStr">
        <is>
          <t>Night</t>
        </is>
      </c>
      <c r="O90" s="70" t="inlineStr">
        <is>
          <t>Investigate</t>
        </is>
      </c>
    </row>
    <row r="91">
      <c r="B91" s="67" t="n">
        <v>45881.80208333334</v>
      </c>
      <c r="D91" s="67" t="n">
        <v>45881.95833333334</v>
      </c>
      <c r="F91" s="54" t="n">
        <v>4</v>
      </c>
      <c r="H91" s="26" t="inlineStr">
        <is>
          <t>Confirmed/Materialized Shift</t>
        </is>
      </c>
      <c r="I91" s="26" t="inlineStr">
        <is>
          <t>upper</t>
        </is>
      </c>
      <c r="J91" s="68" t="n">
        <v>80.36000000000001</v>
      </c>
      <c r="K91" s="68" t="n">
        <v>3.399460120945088</v>
      </c>
      <c r="L91" s="68" t="n">
        <v>2.229329968244194</v>
      </c>
      <c r="M91" s="69" t="n">
        <v>0.591</v>
      </c>
      <c r="N91" s="26" t="inlineStr">
        <is>
          <t>Night</t>
        </is>
      </c>
      <c r="O91" s="70" t="inlineStr">
        <is>
          <t>Investigate</t>
        </is>
      </c>
    </row>
    <row r="92">
      <c r="B92" s="67" t="n">
        <v>45874.34375</v>
      </c>
      <c r="D92" s="67" t="n">
        <v>45874.48958333334</v>
      </c>
      <c r="F92" s="54" t="n">
        <v>3.75</v>
      </c>
      <c r="H92" s="26" t="inlineStr">
        <is>
          <t>Confirmed/Materialized Shift</t>
        </is>
      </c>
      <c r="I92" s="26" t="inlineStr">
        <is>
          <t>lower</t>
        </is>
      </c>
      <c r="J92" s="68" t="n">
        <v>74.76000000000001</v>
      </c>
      <c r="K92" s="68" t="n">
        <v>3.271406969461694</v>
      </c>
      <c r="L92" s="68" t="n">
        <v>2.109536905934395</v>
      </c>
      <c r="M92" s="69" t="n">
        <v>0.5893</v>
      </c>
      <c r="N92" s="26" t="inlineStr">
        <is>
          <t>Day</t>
        </is>
      </c>
      <c r="O92" s="70" t="inlineStr">
        <is>
          <t>Investigate</t>
        </is>
      </c>
    </row>
    <row r="93">
      <c r="B93" s="67" t="n">
        <v>45872.80208333334</v>
      </c>
      <c r="D93" s="67" t="n">
        <v>45872.97916666666</v>
      </c>
      <c r="F93" s="54" t="n">
        <v>4.5</v>
      </c>
      <c r="H93" s="26" t="inlineStr">
        <is>
          <t>Confirmed/Materialized Shift</t>
        </is>
      </c>
      <c r="I93" s="26" t="inlineStr">
        <is>
          <t>upper</t>
        </is>
      </c>
      <c r="J93" s="68" t="n">
        <v>80.08000000000001</v>
      </c>
      <c r="K93" s="68" t="n">
        <v>3.359292854882012</v>
      </c>
      <c r="L93" s="68" t="n">
        <v>2.069841812268193</v>
      </c>
      <c r="M93" s="69" t="n">
        <v>0.5868</v>
      </c>
      <c r="N93" s="26" t="inlineStr">
        <is>
          <t>Night</t>
        </is>
      </c>
      <c r="O93" s="70" t="inlineStr">
        <is>
          <t>Investigate</t>
        </is>
      </c>
    </row>
    <row r="94">
      <c r="B94" s="67" t="n">
        <v>45876.34375</v>
      </c>
      <c r="D94" s="67" t="n">
        <v>45876.48958333334</v>
      </c>
      <c r="F94" s="54" t="n">
        <v>3.75</v>
      </c>
      <c r="H94" s="26" t="inlineStr">
        <is>
          <t>Confirmed/Materialized Shift</t>
        </is>
      </c>
      <c r="I94" s="26" t="inlineStr">
        <is>
          <t>lower</t>
        </is>
      </c>
      <c r="J94" s="68" t="n">
        <v>74.76000000000001</v>
      </c>
      <c r="K94" s="68" t="n">
        <v>3.454836817543331</v>
      </c>
      <c r="L94" s="68" t="n">
        <v>2.08861546818101</v>
      </c>
      <c r="M94" s="69" t="n">
        <v>0.586</v>
      </c>
      <c r="N94" s="26" t="inlineStr">
        <is>
          <t>Day</t>
        </is>
      </c>
      <c r="O94" s="70" t="inlineStr">
        <is>
          <t>Investigate</t>
        </is>
      </c>
    </row>
    <row r="95">
      <c r="B95" s="67" t="n">
        <v>45874.8125</v>
      </c>
      <c r="D95" s="67" t="n">
        <v>45874.97916666666</v>
      </c>
      <c r="F95" s="54" t="n">
        <v>4.25</v>
      </c>
      <c r="H95" s="26" t="inlineStr">
        <is>
          <t>Confirmed/Materialized Shift</t>
        </is>
      </c>
      <c r="I95" s="26" t="inlineStr">
        <is>
          <t>upper</t>
        </is>
      </c>
      <c r="J95" s="68" t="n">
        <v>80.08000000000001</v>
      </c>
      <c r="K95" s="68" t="n">
        <v>3.269174207650848</v>
      </c>
      <c r="L95" s="68" t="n">
        <v>2.069562652193349</v>
      </c>
      <c r="M95" s="69" t="n">
        <v>0.5858</v>
      </c>
      <c r="N95" s="26" t="inlineStr">
        <is>
          <t>Night</t>
        </is>
      </c>
      <c r="O95" s="70" t="inlineStr">
        <is>
          <t>Investigate</t>
        </is>
      </c>
    </row>
    <row r="96">
      <c r="B96" s="67" t="n">
        <v>45871.34375</v>
      </c>
      <c r="D96" s="67" t="n">
        <v>45871.48958333334</v>
      </c>
      <c r="F96" s="54" t="n">
        <v>3.75</v>
      </c>
      <c r="H96" s="26" t="inlineStr">
        <is>
          <t>Confirmed/Materialized Shift</t>
        </is>
      </c>
      <c r="I96" s="26" t="inlineStr">
        <is>
          <t>lower</t>
        </is>
      </c>
      <c r="J96" s="68" t="n">
        <v>74.76000000000001</v>
      </c>
      <c r="K96" s="68" t="n">
        <v>3.115236127901302</v>
      </c>
      <c r="L96" s="68" t="n">
        <v>2.090940985749937</v>
      </c>
      <c r="M96" s="69" t="n">
        <v>0.5648</v>
      </c>
      <c r="N96" s="26" t="inlineStr">
        <is>
          <t>Day</t>
        </is>
      </c>
      <c r="O96" s="70" t="inlineStr">
        <is>
          <t>Investigate</t>
        </is>
      </c>
    </row>
    <row r="97">
      <c r="B97" s="67" t="n">
        <v>45882.34375</v>
      </c>
      <c r="D97" s="67" t="n">
        <v>45882.47916666666</v>
      </c>
      <c r="F97" s="54" t="n">
        <v>3.5</v>
      </c>
      <c r="H97" s="26" t="inlineStr">
        <is>
          <t>Confirmed/Materialized Shift</t>
        </is>
      </c>
      <c r="I97" s="26" t="inlineStr">
        <is>
          <t>lower</t>
        </is>
      </c>
      <c r="J97" s="68" t="n">
        <v>74.76000000000001</v>
      </c>
      <c r="K97" s="68" t="n">
        <v>3.222974611630048</v>
      </c>
      <c r="L97" s="68" t="n">
        <v>2.175367560503812</v>
      </c>
      <c r="M97" s="69" t="n">
        <v>0.5576</v>
      </c>
      <c r="N97" s="26" t="inlineStr">
        <is>
          <t>Day</t>
        </is>
      </c>
      <c r="O97" s="70" t="inlineStr">
        <is>
          <t>Investigate</t>
        </is>
      </c>
    </row>
    <row r="98">
      <c r="B98" s="67" t="n">
        <v>45883.8125</v>
      </c>
      <c r="D98" s="67" t="n">
        <v>45883.96875</v>
      </c>
      <c r="F98" s="54" t="n">
        <v>4</v>
      </c>
      <c r="H98" s="26" t="inlineStr">
        <is>
          <t>Confirmed/Materialized Shift</t>
        </is>
      </c>
      <c r="I98" s="26" t="inlineStr">
        <is>
          <t>upper</t>
        </is>
      </c>
      <c r="J98" s="68" t="n">
        <v>80.36000000000001</v>
      </c>
      <c r="K98" s="68" t="n">
        <v>3.037599627047848</v>
      </c>
      <c r="L98" s="68" t="n">
        <v>2.081800734065294</v>
      </c>
      <c r="M98" s="69" t="n">
        <v>0.5379</v>
      </c>
      <c r="N98" s="26" t="inlineStr">
        <is>
          <t>Night</t>
        </is>
      </c>
      <c r="O98" s="70" t="inlineStr">
        <is>
          <t>Investigate</t>
        </is>
      </c>
    </row>
    <row r="99">
      <c r="B99" s="67" t="n">
        <v>45879.29166666666</v>
      </c>
      <c r="D99" s="67" t="n">
        <v>45879.35416666666</v>
      </c>
      <c r="F99" s="54" t="n">
        <v>1.75</v>
      </c>
      <c r="H99" s="26" t="inlineStr">
        <is>
          <t>Confirmed/Materialized Shift</t>
        </is>
      </c>
      <c r="I99" s="26" t="inlineStr">
        <is>
          <t>upper</t>
        </is>
      </c>
      <c r="J99" s="68" t="n">
        <v>80.36000000000001</v>
      </c>
      <c r="K99" s="68" t="n">
        <v>4.248529157249441</v>
      </c>
      <c r="L99" s="68" t="n">
        <v>2.211600892354914</v>
      </c>
      <c r="M99" s="69" t="n">
        <v>0.5018</v>
      </c>
      <c r="N99" s="26" t="inlineStr">
        <is>
          <t>Day</t>
        </is>
      </c>
      <c r="O99" s="70" t="inlineStr">
        <is>
          <t>Investigate</t>
        </is>
      </c>
    </row>
    <row r="100">
      <c r="B100" s="67" t="n">
        <v>45880.1875</v>
      </c>
      <c r="D100" s="67" t="n">
        <v>45880.21875</v>
      </c>
      <c r="F100" s="54" t="n">
        <v>1</v>
      </c>
      <c r="H100" s="26" t="inlineStr">
        <is>
          <t>Persistent</t>
        </is>
      </c>
      <c r="I100" s="26" t="inlineStr">
        <is>
          <t>upper</t>
        </is>
      </c>
      <c r="J100" s="68" t="n">
        <v>80.36000000000001</v>
      </c>
      <c r="K100" s="68" t="n">
        <v>2.299269714735704</v>
      </c>
      <c r="L100" s="68" t="n">
        <v>1.327020076579603</v>
      </c>
      <c r="M100" s="69" t="n">
        <v>0.324</v>
      </c>
      <c r="N100" s="26" t="inlineStr">
        <is>
          <t>Night</t>
        </is>
      </c>
      <c r="O100" s="71" t="inlineStr">
        <is>
          <t>Review</t>
        </is>
      </c>
    </row>
    <row r="101">
      <c r="B101" s="67" t="n">
        <v>45870.25</v>
      </c>
      <c r="D101" s="67" t="n">
        <v>45870.26041666666</v>
      </c>
      <c r="F101" s="54" t="n">
        <v>0.5</v>
      </c>
      <c r="H101" s="26" t="inlineStr">
        <is>
          <t>Extreme/elevated</t>
        </is>
      </c>
      <c r="I101" s="26" t="inlineStr">
        <is>
          <t>lower</t>
        </is>
      </c>
      <c r="J101" s="68" t="n">
        <v>79.52000000000001</v>
      </c>
      <c r="K101" s="68" t="n">
        <v>2.975979101556856</v>
      </c>
      <c r="L101" s="68" t="n">
        <v>2.041517445080966</v>
      </c>
      <c r="M101" s="69" t="n">
        <v>0.2841</v>
      </c>
      <c r="N101" s="26" t="inlineStr">
        <is>
          <t>Night</t>
        </is>
      </c>
      <c r="O101" s="26" t="inlineStr">
        <is>
          <t>Monitor</t>
        </is>
      </c>
    </row>
    <row r="102">
      <c r="B102" s="67" t="n">
        <v>45874.27083333334</v>
      </c>
      <c r="D102" s="67" t="n">
        <v>45874.27083333334</v>
      </c>
      <c r="F102" s="54" t="n">
        <v>0.25</v>
      </c>
      <c r="H102" s="26" t="inlineStr">
        <is>
          <t>Extreme triggered</t>
        </is>
      </c>
      <c r="I102" s="26" t="inlineStr">
        <is>
          <t>lower</t>
        </is>
      </c>
      <c r="J102" s="68" t="n">
        <v>79.52000000000001</v>
      </c>
      <c r="K102" s="68" t="n">
        <v>2.351015254558659</v>
      </c>
      <c r="L102" s="68" t="n">
        <v>2.351015254558659</v>
      </c>
      <c r="M102" s="69" t="n">
        <v>0.271</v>
      </c>
      <c r="N102" s="26" t="inlineStr">
        <is>
          <t>Night</t>
        </is>
      </c>
      <c r="O102" s="26" t="inlineStr">
        <is>
          <t>Monitor</t>
        </is>
      </c>
    </row>
    <row r="103">
      <c r="B103" s="67" t="n">
        <v>45874.19791666666</v>
      </c>
      <c r="D103" s="67" t="n">
        <v>45874.20833333334</v>
      </c>
      <c r="F103" s="54" t="n">
        <v>0.5</v>
      </c>
      <c r="H103" s="26" t="inlineStr">
        <is>
          <t>Extreme/elevated</t>
        </is>
      </c>
      <c r="I103" s="26" t="inlineStr">
        <is>
          <t>upper</t>
        </is>
      </c>
      <c r="J103" s="68" t="n">
        <v>80.36000000000001</v>
      </c>
      <c r="K103" s="68" t="n">
        <v>2.275748724689026</v>
      </c>
      <c r="L103" s="68" t="n">
        <v>1.750575942068468</v>
      </c>
      <c r="M103" s="69" t="n">
        <v>0.2531</v>
      </c>
      <c r="N103" s="26" t="inlineStr">
        <is>
          <t>Night</t>
        </is>
      </c>
      <c r="O103" s="26" t="inlineStr">
        <is>
          <t>Monitor</t>
        </is>
      </c>
    </row>
    <row r="104">
      <c r="B104" s="67" t="n">
        <v>45871.27083333334</v>
      </c>
      <c r="D104" s="67" t="n">
        <v>45871.27083333334</v>
      </c>
      <c r="F104" s="54" t="n">
        <v>0.25</v>
      </c>
      <c r="H104" s="26" t="inlineStr">
        <is>
          <t>Extreme triggered</t>
        </is>
      </c>
      <c r="I104" s="26" t="inlineStr">
        <is>
          <t>lower</t>
        </is>
      </c>
      <c r="J104" s="68" t="n">
        <v>79.52000000000001</v>
      </c>
      <c r="K104" s="68" t="n">
        <v>2.320201140699166</v>
      </c>
      <c r="L104" s="68" t="n">
        <v>2.320201140699166</v>
      </c>
      <c r="M104" s="69" t="n">
        <v>0.2404</v>
      </c>
      <c r="N104" s="26" t="inlineStr">
        <is>
          <t>Night</t>
        </is>
      </c>
      <c r="O104" s="26" t="inlineStr">
        <is>
          <t>Monitor</t>
        </is>
      </c>
    </row>
    <row r="105">
      <c r="B105" s="67" t="n">
        <v>45871.125</v>
      </c>
      <c r="D105" s="67" t="n">
        <v>45871.125</v>
      </c>
      <c r="F105" s="54" t="n">
        <v>0.25</v>
      </c>
      <c r="H105" s="26" t="inlineStr">
        <is>
          <t>Extreme triggered</t>
        </is>
      </c>
      <c r="I105" s="26" t="inlineStr">
        <is>
          <t>upper</t>
        </is>
      </c>
      <c r="J105" s="68" t="n">
        <v>80.36000000000001</v>
      </c>
      <c r="K105" s="68" t="n">
        <v>2.293804364255382</v>
      </c>
      <c r="L105" s="68" t="n">
        <v>2.293804364255382</v>
      </c>
      <c r="M105" s="69" t="n">
        <v>0.2386</v>
      </c>
      <c r="N105" s="26" t="inlineStr">
        <is>
          <t>Night</t>
        </is>
      </c>
      <c r="O105" s="26" t="inlineStr">
        <is>
          <t>Monitor</t>
        </is>
      </c>
    </row>
    <row r="106">
      <c r="B106" s="67" t="n">
        <v>45883.69791666666</v>
      </c>
      <c r="D106" s="67" t="n">
        <v>45883.69791666666</v>
      </c>
      <c r="F106" s="54" t="n">
        <v>0.25</v>
      </c>
      <c r="H106" s="26" t="inlineStr">
        <is>
          <t>Extreme triggered</t>
        </is>
      </c>
      <c r="I106" s="26" t="inlineStr">
        <is>
          <t>upper</t>
        </is>
      </c>
      <c r="J106" s="68" t="n">
        <v>75.32000000000001</v>
      </c>
      <c r="K106" s="68" t="n">
        <v>2.275748724715029</v>
      </c>
      <c r="L106" s="68" t="n">
        <v>2.275748724715029</v>
      </c>
      <c r="M106" s="69" t="n">
        <v>0.2374</v>
      </c>
      <c r="N106" s="26" t="inlineStr">
        <is>
          <t>Day</t>
        </is>
      </c>
      <c r="O106" s="26" t="inlineStr">
        <is>
          <t>Monitor</t>
        </is>
      </c>
    </row>
    <row r="107">
      <c r="B107" s="67" t="n">
        <v>45871.64583333334</v>
      </c>
      <c r="D107" s="67" t="n">
        <v>45871.64583333334</v>
      </c>
      <c r="F107" s="54" t="n">
        <v>0.25</v>
      </c>
      <c r="H107" s="26" t="inlineStr">
        <is>
          <t>Extreme triggered</t>
        </is>
      </c>
      <c r="I107" s="26" t="inlineStr">
        <is>
          <t>lower</t>
        </is>
      </c>
      <c r="J107" s="68" t="n">
        <v>74.48</v>
      </c>
      <c r="K107" s="68" t="n">
        <v>2.275748724741804</v>
      </c>
      <c r="L107" s="68" t="n">
        <v>2.275748724741804</v>
      </c>
      <c r="M107" s="69" t="n">
        <v>0.2374</v>
      </c>
      <c r="N107" s="26" t="inlineStr">
        <is>
          <t>Day</t>
        </is>
      </c>
      <c r="O107" s="26" t="inlineStr">
        <is>
          <t>Monitor</t>
        </is>
      </c>
    </row>
    <row r="108">
      <c r="B108" s="67" t="n">
        <v>45883.78125</v>
      </c>
      <c r="D108" s="67" t="n">
        <v>45883.78125</v>
      </c>
      <c r="F108" s="54" t="n">
        <v>0.25</v>
      </c>
      <c r="H108" s="26" t="inlineStr">
        <is>
          <t>Extreme triggered</t>
        </is>
      </c>
      <c r="I108" s="26" t="inlineStr">
        <is>
          <t>lower</t>
        </is>
      </c>
      <c r="J108" s="68" t="n">
        <v>74.48</v>
      </c>
      <c r="K108" s="68" t="n">
        <v>2.258379801892292</v>
      </c>
      <c r="L108" s="68" t="n">
        <v>2.258379801892292</v>
      </c>
      <c r="M108" s="69" t="n">
        <v>0.2363</v>
      </c>
      <c r="N108" s="26" t="inlineStr">
        <is>
          <t>Day</t>
        </is>
      </c>
      <c r="O108" s="26" t="inlineStr">
        <is>
          <t>Monitor</t>
        </is>
      </c>
    </row>
    <row r="109">
      <c r="B109" s="67" t="n">
        <v>45871.72916666666</v>
      </c>
      <c r="D109" s="67" t="n">
        <v>45871.72916666666</v>
      </c>
      <c r="F109" s="54" t="n">
        <v>0.25</v>
      </c>
      <c r="H109" s="26" t="inlineStr">
        <is>
          <t>Extreme triggered</t>
        </is>
      </c>
      <c r="I109" s="26" t="inlineStr">
        <is>
          <t>upper</t>
        </is>
      </c>
      <c r="J109" s="68" t="n">
        <v>75.32000000000001</v>
      </c>
      <c r="K109" s="68" t="n">
        <v>2.179449471784468</v>
      </c>
      <c r="L109" s="68" t="n">
        <v>2.179449471784468</v>
      </c>
      <c r="M109" s="69" t="n">
        <v>0.231</v>
      </c>
      <c r="N109" s="26" t="inlineStr">
        <is>
          <t>Day</t>
        </is>
      </c>
      <c r="O109" s="26" t="inlineStr">
        <is>
          <t>Monitor</t>
        </is>
      </c>
    </row>
    <row r="110">
      <c r="B110" s="67" t="n">
        <v>45882.67708333334</v>
      </c>
      <c r="D110" s="67" t="n">
        <v>45882.67708333334</v>
      </c>
      <c r="F110" s="54" t="n">
        <v>0.25</v>
      </c>
      <c r="H110" s="26" t="inlineStr">
        <is>
          <t>Extreme triggered</t>
        </is>
      </c>
      <c r="I110" s="26" t="inlineStr">
        <is>
          <t>upper</t>
        </is>
      </c>
      <c r="J110" s="68" t="n">
        <v>75.32000000000001</v>
      </c>
      <c r="K110" s="68" t="n">
        <v>2.562808149597197</v>
      </c>
      <c r="L110" s="68" t="n">
        <v>2.562808149597197</v>
      </c>
      <c r="M110" s="69" t="n">
        <v>0.228</v>
      </c>
      <c r="N110" s="26" t="inlineStr">
        <is>
          <t>Day</t>
        </is>
      </c>
      <c r="O110" s="26" t="inlineStr">
        <is>
          <t>Monitor</t>
        </is>
      </c>
    </row>
    <row r="111">
      <c r="B111" s="67" t="n">
        <v>45876.14583333334</v>
      </c>
      <c r="D111" s="67" t="n">
        <v>45876.14583333334</v>
      </c>
      <c r="F111" s="54" t="n">
        <v>0.25</v>
      </c>
      <c r="H111" s="26" t="inlineStr">
        <is>
          <t>Extreme triggered</t>
        </is>
      </c>
      <c r="I111" s="26" t="inlineStr">
        <is>
          <t>lower</t>
        </is>
      </c>
      <c r="J111" s="68" t="n">
        <v>79.52000000000001</v>
      </c>
      <c r="K111" s="68" t="n">
        <v>2.041744710064171</v>
      </c>
      <c r="L111" s="68" t="n">
        <v>2.041744710064171</v>
      </c>
      <c r="M111" s="69" t="n">
        <v>0.2218</v>
      </c>
      <c r="N111" s="26" t="inlineStr">
        <is>
          <t>Night</t>
        </is>
      </c>
      <c r="O111" s="26" t="inlineStr">
        <is>
          <t>Monitor</t>
        </is>
      </c>
    </row>
    <row r="112">
      <c r="B112" s="67" t="n">
        <v>45876.11458333334</v>
      </c>
      <c r="D112" s="67" t="n">
        <v>45876.11458333334</v>
      </c>
      <c r="F112" s="54" t="n">
        <v>0.25</v>
      </c>
      <c r="H112" s="26" t="inlineStr">
        <is>
          <t>Extreme triggered</t>
        </is>
      </c>
      <c r="I112" s="26" t="inlineStr">
        <is>
          <t>lower</t>
        </is>
      </c>
      <c r="J112" s="68" t="n">
        <v>79.52000000000001</v>
      </c>
      <c r="K112" s="68" t="n">
        <v>2.45967477520729</v>
      </c>
      <c r="L112" s="68" t="n">
        <v>2.45967477520729</v>
      </c>
      <c r="M112" s="69" t="n">
        <v>0.2211</v>
      </c>
      <c r="N112" s="26" t="inlineStr">
        <is>
          <t>Night</t>
        </is>
      </c>
      <c r="O112" s="26" t="inlineStr">
        <is>
          <t>Monitor</t>
        </is>
      </c>
    </row>
    <row r="113">
      <c r="B113" s="67" t="n">
        <v>45880.625</v>
      </c>
      <c r="D113" s="67" t="n">
        <v>45880.625</v>
      </c>
      <c r="F113" s="54" t="n">
        <v>0.25</v>
      </c>
      <c r="H113" s="26" t="inlineStr">
        <is>
          <t>Extreme triggered</t>
        </is>
      </c>
      <c r="I113" s="26" t="inlineStr">
        <is>
          <t>upper</t>
        </is>
      </c>
      <c r="J113" s="68" t="n">
        <v>75.32000000000001</v>
      </c>
      <c r="K113" s="68" t="n">
        <v>2.320201140698378</v>
      </c>
      <c r="L113" s="68" t="n">
        <v>2.320201140698378</v>
      </c>
      <c r="M113" s="69" t="n">
        <v>0.2118</v>
      </c>
      <c r="N113" s="26" t="inlineStr">
        <is>
          <t>Day</t>
        </is>
      </c>
      <c r="O113" s="26" t="inlineStr">
        <is>
          <t>Monitor</t>
        </is>
      </c>
    </row>
    <row r="114">
      <c r="B114" s="67" t="n">
        <v>45874.67708333334</v>
      </c>
      <c r="D114" s="67" t="n">
        <v>45874.67708333334</v>
      </c>
      <c r="F114" s="54" t="n">
        <v>0.25</v>
      </c>
      <c r="H114" s="26" t="inlineStr">
        <is>
          <t>Extreme triggered</t>
        </is>
      </c>
      <c r="I114" s="26" t="inlineStr">
        <is>
          <t>upper</t>
        </is>
      </c>
      <c r="J114" s="68" t="n">
        <v>75.32000000000001</v>
      </c>
      <c r="K114" s="68" t="n">
        <v>2.299269714787752</v>
      </c>
      <c r="L114" s="68" t="n">
        <v>2.299269714787752</v>
      </c>
      <c r="M114" s="69" t="n">
        <v>0.2104</v>
      </c>
      <c r="N114" s="26" t="inlineStr">
        <is>
          <t>Day</t>
        </is>
      </c>
      <c r="O114" s="26" t="inlineStr">
        <is>
          <t>Monitor</t>
        </is>
      </c>
    </row>
    <row r="115">
      <c r="B115" s="67" t="n">
        <v>45873.10416666666</v>
      </c>
      <c r="D115" s="67" t="n">
        <v>45873.10416666666</v>
      </c>
      <c r="F115" s="54" t="n">
        <v>0.25</v>
      </c>
      <c r="H115" s="26" t="inlineStr">
        <is>
          <t>Extreme triggered</t>
        </is>
      </c>
      <c r="I115" s="26" t="inlineStr">
        <is>
          <t>upper</t>
        </is>
      </c>
      <c r="J115" s="68" t="n">
        <v>80.36000000000001</v>
      </c>
      <c r="K115" s="68" t="n">
        <v>2.275748724702176</v>
      </c>
      <c r="L115" s="68" t="n">
        <v>2.275748724702176</v>
      </c>
      <c r="M115" s="69" t="n">
        <v>0.2089</v>
      </c>
      <c r="N115" s="26" t="inlineStr">
        <is>
          <t>Night</t>
        </is>
      </c>
      <c r="O115" s="26" t="inlineStr">
        <is>
          <t>Monitor</t>
        </is>
      </c>
    </row>
    <row r="116">
      <c r="B116" s="67" t="n">
        <v>45882.32291666666</v>
      </c>
      <c r="D116" s="67" t="n">
        <v>45882.32291666666</v>
      </c>
      <c r="F116" s="54" t="n">
        <v>0.25</v>
      </c>
      <c r="H116" s="26" t="inlineStr">
        <is>
          <t>Extreme triggered</t>
        </is>
      </c>
      <c r="I116" s="26" t="inlineStr">
        <is>
          <t>lower</t>
        </is>
      </c>
      <c r="J116" s="68" t="n">
        <v>79.52000000000001</v>
      </c>
      <c r="K116" s="68" t="n">
        <v>2.225337650649134</v>
      </c>
      <c r="L116" s="68" t="n">
        <v>2.225337650649134</v>
      </c>
      <c r="M116" s="69" t="n">
        <v>0.2055</v>
      </c>
      <c r="N116" s="26" t="inlineStr">
        <is>
          <t>Day</t>
        </is>
      </c>
      <c r="O116" s="26" t="inlineStr">
        <is>
          <t>Monitor</t>
        </is>
      </c>
    </row>
    <row r="117">
      <c r="B117" s="67" t="n">
        <v>45877.17708333334</v>
      </c>
      <c r="D117" s="67" t="n">
        <v>45877.17708333334</v>
      </c>
      <c r="F117" s="54" t="n">
        <v>0.25</v>
      </c>
      <c r="H117" s="26" t="inlineStr">
        <is>
          <t>Extreme triggered</t>
        </is>
      </c>
      <c r="I117" s="26" t="inlineStr">
        <is>
          <t>lower</t>
        </is>
      </c>
      <c r="J117" s="68" t="n">
        <v>79.52000000000001</v>
      </c>
      <c r="K117" s="68" t="n">
        <v>2.179449471735963</v>
      </c>
      <c r="L117" s="68" t="n">
        <v>2.179449471735963</v>
      </c>
      <c r="M117" s="69" t="n">
        <v>0.2024</v>
      </c>
      <c r="N117" s="26" t="inlineStr">
        <is>
          <t>Night</t>
        </is>
      </c>
      <c r="O117" s="26" t="inlineStr">
        <is>
          <t>Monitor</t>
        </is>
      </c>
    </row>
    <row r="118">
      <c r="B118" s="67" t="n">
        <v>45876.27083333334</v>
      </c>
      <c r="D118" s="67" t="n">
        <v>45876.27083333334</v>
      </c>
      <c r="F118" s="54" t="n">
        <v>0.25</v>
      </c>
      <c r="H118" s="26" t="inlineStr">
        <is>
          <t>Extreme triggered</t>
        </is>
      </c>
      <c r="I118" s="26" t="inlineStr">
        <is>
          <t>upper</t>
        </is>
      </c>
      <c r="J118" s="68" t="n">
        <v>80.36000000000001</v>
      </c>
      <c r="K118" s="68" t="n">
        <v>2.122193135315804</v>
      </c>
      <c r="L118" s="68" t="n">
        <v>2.122193135315804</v>
      </c>
      <c r="M118" s="69" t="n">
        <v>0.1986</v>
      </c>
      <c r="N118" s="26" t="inlineStr">
        <is>
          <t>Night</t>
        </is>
      </c>
      <c r="O118" s="26" t="inlineStr">
        <is>
          <t>Monitor</t>
        </is>
      </c>
    </row>
    <row r="119">
      <c r="B119" s="67" t="n">
        <v>45880.75</v>
      </c>
      <c r="D119" s="67" t="n">
        <v>45880.75</v>
      </c>
      <c r="F119" s="54" t="n">
        <v>0.25</v>
      </c>
      <c r="H119" s="26" t="inlineStr">
        <is>
          <t>Extreme triggered</t>
        </is>
      </c>
      <c r="I119" s="26" t="inlineStr">
        <is>
          <t>upper</t>
        </is>
      </c>
      <c r="J119" s="68" t="n">
        <v>75.32000000000001</v>
      </c>
      <c r="K119" s="68" t="n">
        <v>2.041744710085147</v>
      </c>
      <c r="L119" s="68" t="n">
        <v>2.041744710085147</v>
      </c>
      <c r="M119" s="69" t="n">
        <v>0.1933</v>
      </c>
      <c r="N119" s="26" t="inlineStr">
        <is>
          <t>Day</t>
        </is>
      </c>
      <c r="O119" s="26" t="inlineStr">
        <is>
          <t>Monitor</t>
        </is>
      </c>
    </row>
    <row r="120">
      <c r="B120" s="67" t="n">
        <v>45878.13541666666</v>
      </c>
      <c r="D120" s="67" t="n">
        <v>45878.13541666666</v>
      </c>
      <c r="F120" s="54" t="n">
        <v>0.25</v>
      </c>
      <c r="H120" s="26" t="inlineStr">
        <is>
          <t>Extreme triggered</t>
        </is>
      </c>
      <c r="I120" s="26" t="inlineStr">
        <is>
          <t>upper</t>
        </is>
      </c>
      <c r="J120" s="68" t="n">
        <v>80.36000000000001</v>
      </c>
      <c r="K120" s="68" t="n">
        <v>2.012461179723039</v>
      </c>
      <c r="L120" s="68" t="n">
        <v>2.012461179723039</v>
      </c>
      <c r="M120" s="69" t="n">
        <v>0.1913</v>
      </c>
      <c r="N120" s="26" t="inlineStr">
        <is>
          <t>Night</t>
        </is>
      </c>
      <c r="O120" s="26" t="inlineStr">
        <is>
          <t>Monitor</t>
        </is>
      </c>
    </row>
  </sheetData>
  <mergeCells count="6">
    <mergeCell ref="H13:H14"/>
    <mergeCell ref="L13:O14"/>
    <mergeCell ref="H16:H17"/>
    <mergeCell ref="L16:O17"/>
    <mergeCell ref="L10:O11"/>
    <mergeCell ref="H10:H11"/>
  </mergeCells>
  <conditionalFormatting sqref="M73:M120">
    <cfRule type="dataBar" priority="1">
      <dataBar>
        <cfvo type="num" val="0"/>
        <cfvo type="num" val="1"/>
        <color rgb="00A4C2F4"/>
      </dataBar>
    </cfRule>
  </conditionalFormatting>
  <hyperlinks>
    <hyperlink xmlns:r="http://schemas.openxmlformats.org/officeDocument/2006/relationships" ref="B5" r:id="rId1"/>
    <hyperlink xmlns:r="http://schemas.openxmlformats.org/officeDocument/2006/relationships" ref="B69" r:id="rId2"/>
  </hyperlinks>
  <pageMargins left="0.75" right="0.75" top="1" bottom="1" header="0.5" footer="0.5"/>
  <drawing xmlns:r="http://schemas.openxmlformats.org/officeDocument/2006/relationships" r:id="rId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N56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B2" s="2" t="inlineStr">
        <is>
          <t>All events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inlineStr">
        <is>
          <t>Report generated: 10/09/2026 16:09</t>
        </is>
      </c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B5" s="6" t="inlineStr">
        <is>
          <t>&lt; Back to summary worksheet</t>
        </is>
      </c>
    </row>
    <row r="6">
      <c r="B6" s="18" t="inlineStr">
        <is>
          <t>One row per event (from Extreme triggered until Persistence ends), sorted by start time. Use the filter buttons in the header row.</t>
        </is>
      </c>
    </row>
    <row r="8">
      <c r="B8" s="72" t="inlineStr">
        <is>
          <t>Start</t>
        </is>
      </c>
      <c r="C8" s="72" t="inlineStr">
        <is>
          <t>End</t>
        </is>
      </c>
      <c r="D8" s="72" t="inlineStr">
        <is>
          <t>Duration (h)</t>
        </is>
      </c>
      <c r="E8" s="72" t="inlineStr">
        <is>
          <t>Direction</t>
        </is>
      </c>
      <c r="F8" s="72" t="inlineStr">
        <is>
          <t>Peak value</t>
        </is>
      </c>
      <c r="G8" s="72" t="inlineStr">
        <is>
          <t>Max |Z|</t>
        </is>
      </c>
      <c r="H8" s="72" t="inlineStr">
        <is>
          <t>Mean |Z| (event)</t>
        </is>
      </c>
      <c r="I8" s="72" t="inlineStr">
        <is>
          <t>Highest state</t>
        </is>
      </c>
      <c r="J8" s="72" t="inlineStr">
        <is>
          <t>Max materiality score</t>
        </is>
      </c>
      <c r="K8" s="72" t="inlineStr">
        <is>
          <t>Day/Night at start</t>
        </is>
      </c>
      <c r="L8" s="72" t="inlineStr">
        <is>
          <t>Month</t>
        </is>
      </c>
      <c r="M8" s="72" t="inlineStr">
        <is>
          <t>Action</t>
        </is>
      </c>
    </row>
    <row r="9">
      <c r="B9" s="32" t="n">
        <v>45870.25</v>
      </c>
      <c r="C9" s="32" t="n">
        <v>45870.26041666666</v>
      </c>
      <c r="D9" s="73" t="n">
        <v>0.5</v>
      </c>
      <c r="E9" s="33" t="inlineStr">
        <is>
          <t>lower</t>
        </is>
      </c>
      <c r="F9" s="73" t="n">
        <v>79.52000000000001</v>
      </c>
      <c r="G9" s="73" t="n">
        <v>2.975979101556856</v>
      </c>
      <c r="H9" s="73" t="n">
        <v>2.041517445080966</v>
      </c>
      <c r="I9" s="33" t="inlineStr">
        <is>
          <t>Extreme/elevated</t>
        </is>
      </c>
      <c r="J9" s="74" t="n">
        <v>0.2841</v>
      </c>
      <c r="K9" s="33" t="inlineStr">
        <is>
          <t>Night</t>
        </is>
      </c>
      <c r="L9" s="33" t="inlineStr">
        <is>
          <t>Aug 2025</t>
        </is>
      </c>
      <c r="M9" s="33" t="inlineStr">
        <is>
          <t>Monitor</t>
        </is>
      </c>
    </row>
    <row r="10">
      <c r="B10" s="32" t="n">
        <v>45870.35416666666</v>
      </c>
      <c r="C10" s="32" t="n">
        <v>45870.46875</v>
      </c>
      <c r="D10" s="73" t="n">
        <v>3</v>
      </c>
      <c r="E10" s="33" t="inlineStr">
        <is>
          <t>lower</t>
        </is>
      </c>
      <c r="F10" s="73" t="n">
        <v>74.76000000000001</v>
      </c>
      <c r="G10" s="73" t="n">
        <v>3.445044550809249</v>
      </c>
      <c r="H10" s="73" t="n">
        <v>2.294681688936139</v>
      </c>
      <c r="I10" s="33" t="inlineStr">
        <is>
          <t>Confirmed/Materialized Shift</t>
        </is>
      </c>
      <c r="J10" s="74" t="n">
        <v>0.6102</v>
      </c>
      <c r="K10" s="33" t="inlineStr">
        <is>
          <t>Day</t>
        </is>
      </c>
      <c r="L10" s="33" t="inlineStr">
        <is>
          <t>Aug 2025</t>
        </is>
      </c>
      <c r="M10" s="33" t="inlineStr">
        <is>
          <t>Investigate</t>
        </is>
      </c>
    </row>
    <row r="11">
      <c r="B11" s="32" t="n">
        <v>45870.8125</v>
      </c>
      <c r="C11" s="32" t="n">
        <v>45870.97916666666</v>
      </c>
      <c r="D11" s="73" t="n">
        <v>4.25</v>
      </c>
      <c r="E11" s="33" t="inlineStr">
        <is>
          <t>upper</t>
        </is>
      </c>
      <c r="F11" s="73" t="n">
        <v>80.08000000000001</v>
      </c>
      <c r="G11" s="73" t="n">
        <v>3.400575636094243</v>
      </c>
      <c r="H11" s="73" t="n">
        <v>2.101376912343675</v>
      </c>
      <c r="I11" s="33" t="inlineStr">
        <is>
          <t>Confirmed/Materialized Shift</t>
        </is>
      </c>
      <c r="J11" s="74" t="n">
        <v>0.6206</v>
      </c>
      <c r="K11" s="33" t="inlineStr">
        <is>
          <t>Night</t>
        </is>
      </c>
      <c r="L11" s="33" t="inlineStr">
        <is>
          <t>Aug 2025</t>
        </is>
      </c>
      <c r="M11" s="33" t="inlineStr">
        <is>
          <t>Investigate</t>
        </is>
      </c>
    </row>
    <row r="12">
      <c r="B12" s="32" t="n">
        <v>45871.125</v>
      </c>
      <c r="C12" s="32" t="n">
        <v>45871.125</v>
      </c>
      <c r="D12" s="73" t="n">
        <v>0.25</v>
      </c>
      <c r="E12" s="33" t="inlineStr">
        <is>
          <t>upper</t>
        </is>
      </c>
      <c r="F12" s="73" t="n">
        <v>80.36000000000001</v>
      </c>
      <c r="G12" s="73" t="n">
        <v>2.293804364255382</v>
      </c>
      <c r="H12" s="73" t="n">
        <v>2.293804364255382</v>
      </c>
      <c r="I12" s="33" t="inlineStr">
        <is>
          <t>Extreme triggered</t>
        </is>
      </c>
      <c r="J12" s="74" t="n">
        <v>0.2386</v>
      </c>
      <c r="K12" s="33" t="inlineStr">
        <is>
          <t>Night</t>
        </is>
      </c>
      <c r="L12" s="33" t="inlineStr">
        <is>
          <t>Aug 2025</t>
        </is>
      </c>
      <c r="M12" s="33" t="inlineStr">
        <is>
          <t>Monitor</t>
        </is>
      </c>
    </row>
    <row r="13">
      <c r="B13" s="32" t="n">
        <v>45871.27083333334</v>
      </c>
      <c r="C13" s="32" t="n">
        <v>45871.27083333334</v>
      </c>
      <c r="D13" s="73" t="n">
        <v>0.25</v>
      </c>
      <c r="E13" s="33" t="inlineStr">
        <is>
          <t>lower</t>
        </is>
      </c>
      <c r="F13" s="73" t="n">
        <v>79.52000000000001</v>
      </c>
      <c r="G13" s="73" t="n">
        <v>2.320201140699166</v>
      </c>
      <c r="H13" s="73" t="n">
        <v>2.320201140699166</v>
      </c>
      <c r="I13" s="33" t="inlineStr">
        <is>
          <t>Extreme triggered</t>
        </is>
      </c>
      <c r="J13" s="74" t="n">
        <v>0.2404</v>
      </c>
      <c r="K13" s="33" t="inlineStr">
        <is>
          <t>Night</t>
        </is>
      </c>
      <c r="L13" s="33" t="inlineStr">
        <is>
          <t>Aug 2025</t>
        </is>
      </c>
      <c r="M13" s="33" t="inlineStr">
        <is>
          <t>Monitor</t>
        </is>
      </c>
    </row>
    <row r="14">
      <c r="B14" s="32" t="n">
        <v>45871.34375</v>
      </c>
      <c r="C14" s="32" t="n">
        <v>45871.48958333334</v>
      </c>
      <c r="D14" s="73" t="n">
        <v>3.75</v>
      </c>
      <c r="E14" s="33" t="inlineStr">
        <is>
          <t>lower</t>
        </is>
      </c>
      <c r="F14" s="73" t="n">
        <v>74.76000000000001</v>
      </c>
      <c r="G14" s="73" t="n">
        <v>3.115236127901302</v>
      </c>
      <c r="H14" s="73" t="n">
        <v>2.090940985749937</v>
      </c>
      <c r="I14" s="33" t="inlineStr">
        <is>
          <t>Confirmed/Materialized Shift</t>
        </is>
      </c>
      <c r="J14" s="74" t="n">
        <v>0.5648</v>
      </c>
      <c r="K14" s="33" t="inlineStr">
        <is>
          <t>Day</t>
        </is>
      </c>
      <c r="L14" s="33" t="inlineStr">
        <is>
          <t>Aug 2025</t>
        </is>
      </c>
      <c r="M14" s="33" t="inlineStr">
        <is>
          <t>Investigate</t>
        </is>
      </c>
    </row>
    <row r="15">
      <c r="B15" s="32" t="n">
        <v>45871.64583333334</v>
      </c>
      <c r="C15" s="32" t="n">
        <v>45871.64583333334</v>
      </c>
      <c r="D15" s="73" t="n">
        <v>0.25</v>
      </c>
      <c r="E15" s="33" t="inlineStr">
        <is>
          <t>lower</t>
        </is>
      </c>
      <c r="F15" s="73" t="n">
        <v>74.48</v>
      </c>
      <c r="G15" s="73" t="n">
        <v>2.275748724741804</v>
      </c>
      <c r="H15" s="73" t="n">
        <v>2.275748724741804</v>
      </c>
      <c r="I15" s="33" t="inlineStr">
        <is>
          <t>Extreme triggered</t>
        </is>
      </c>
      <c r="J15" s="74" t="n">
        <v>0.2374</v>
      </c>
      <c r="K15" s="33" t="inlineStr">
        <is>
          <t>Day</t>
        </is>
      </c>
      <c r="L15" s="33" t="inlineStr">
        <is>
          <t>Aug 2025</t>
        </is>
      </c>
      <c r="M15" s="33" t="inlineStr">
        <is>
          <t>Monitor</t>
        </is>
      </c>
    </row>
    <row r="16">
      <c r="B16" s="32" t="n">
        <v>45871.72916666666</v>
      </c>
      <c r="C16" s="32" t="n">
        <v>45871.72916666666</v>
      </c>
      <c r="D16" s="73" t="n">
        <v>0.25</v>
      </c>
      <c r="E16" s="33" t="inlineStr">
        <is>
          <t>upper</t>
        </is>
      </c>
      <c r="F16" s="73" t="n">
        <v>75.32000000000001</v>
      </c>
      <c r="G16" s="73" t="n">
        <v>2.179449471784468</v>
      </c>
      <c r="H16" s="73" t="n">
        <v>2.179449471784468</v>
      </c>
      <c r="I16" s="33" t="inlineStr">
        <is>
          <t>Extreme triggered</t>
        </is>
      </c>
      <c r="J16" s="74" t="n">
        <v>0.231</v>
      </c>
      <c r="K16" s="33" t="inlineStr">
        <is>
          <t>Day</t>
        </is>
      </c>
      <c r="L16" s="33" t="inlineStr">
        <is>
          <t>Aug 2025</t>
        </is>
      </c>
      <c r="M16" s="33" t="inlineStr">
        <is>
          <t>Monitor</t>
        </is>
      </c>
    </row>
    <row r="17">
      <c r="B17" s="32" t="n">
        <v>45871.8125</v>
      </c>
      <c r="C17" s="32" t="n">
        <v>45871.96875</v>
      </c>
      <c r="D17" s="73" t="n">
        <v>4</v>
      </c>
      <c r="E17" s="33" t="inlineStr">
        <is>
          <t>upper</t>
        </is>
      </c>
      <c r="F17" s="73" t="n">
        <v>80.08000000000001</v>
      </c>
      <c r="G17" s="73" t="n">
        <v>3.073988985675605</v>
      </c>
      <c r="H17" s="73" t="n">
        <v>2.080045706187442</v>
      </c>
      <c r="I17" s="33" t="inlineStr">
        <is>
          <t>Confirmed/Materialized Shift</t>
        </is>
      </c>
      <c r="J17" s="74" t="n">
        <v>0.6044</v>
      </c>
      <c r="K17" s="33" t="inlineStr">
        <is>
          <t>Night</t>
        </is>
      </c>
      <c r="L17" s="33" t="inlineStr">
        <is>
          <t>Aug 2025</t>
        </is>
      </c>
      <c r="M17" s="33" t="inlineStr">
        <is>
          <t>Investigate</t>
        </is>
      </c>
    </row>
    <row r="18">
      <c r="B18" s="32" t="n">
        <v>45872.34375</v>
      </c>
      <c r="C18" s="32" t="n">
        <v>45872.48958333334</v>
      </c>
      <c r="D18" s="73" t="n">
        <v>3.75</v>
      </c>
      <c r="E18" s="33" t="inlineStr">
        <is>
          <t>lower</t>
        </is>
      </c>
      <c r="F18" s="73" t="n">
        <v>74.48</v>
      </c>
      <c r="G18" s="73" t="n">
        <v>3.556284071622247</v>
      </c>
      <c r="H18" s="73" t="n">
        <v>2.135003097966681</v>
      </c>
      <c r="I18" s="33" t="inlineStr">
        <is>
          <t>Confirmed/Materialized Shift</t>
        </is>
      </c>
      <c r="J18" s="74" t="n">
        <v>0.613</v>
      </c>
      <c r="K18" s="33" t="inlineStr">
        <is>
          <t>Day</t>
        </is>
      </c>
      <c r="L18" s="33" t="inlineStr">
        <is>
          <t>Aug 2025</t>
        </is>
      </c>
      <c r="M18" s="33" t="inlineStr">
        <is>
          <t>Investigate</t>
        </is>
      </c>
    </row>
    <row r="19">
      <c r="B19" s="32" t="n">
        <v>45872.80208333334</v>
      </c>
      <c r="C19" s="32" t="n">
        <v>45872.97916666666</v>
      </c>
      <c r="D19" s="73" t="n">
        <v>4.5</v>
      </c>
      <c r="E19" s="33" t="inlineStr">
        <is>
          <t>upper</t>
        </is>
      </c>
      <c r="F19" s="73" t="n">
        <v>80.08000000000001</v>
      </c>
      <c r="G19" s="73" t="n">
        <v>3.359292854882012</v>
      </c>
      <c r="H19" s="73" t="n">
        <v>2.069841812268193</v>
      </c>
      <c r="I19" s="33" t="inlineStr">
        <is>
          <t>Confirmed/Materialized Shift</t>
        </is>
      </c>
      <c r="J19" s="74" t="n">
        <v>0.5868</v>
      </c>
      <c r="K19" s="33" t="inlineStr">
        <is>
          <t>Night</t>
        </is>
      </c>
      <c r="L19" s="33" t="inlineStr">
        <is>
          <t>Aug 2025</t>
        </is>
      </c>
      <c r="M19" s="33" t="inlineStr">
        <is>
          <t>Investigate</t>
        </is>
      </c>
    </row>
    <row r="20">
      <c r="B20" s="32" t="n">
        <v>45873.10416666666</v>
      </c>
      <c r="C20" s="32" t="n">
        <v>45873.10416666666</v>
      </c>
      <c r="D20" s="73" t="n">
        <v>0.25</v>
      </c>
      <c r="E20" s="33" t="inlineStr">
        <is>
          <t>upper</t>
        </is>
      </c>
      <c r="F20" s="73" t="n">
        <v>80.36000000000001</v>
      </c>
      <c r="G20" s="73" t="n">
        <v>2.275748724702176</v>
      </c>
      <c r="H20" s="73" t="n">
        <v>2.275748724702176</v>
      </c>
      <c r="I20" s="33" t="inlineStr">
        <is>
          <t>Extreme triggered</t>
        </is>
      </c>
      <c r="J20" s="74" t="n">
        <v>0.2089</v>
      </c>
      <c r="K20" s="33" t="inlineStr">
        <is>
          <t>Night</t>
        </is>
      </c>
      <c r="L20" s="33" t="inlineStr">
        <is>
          <t>Aug 2025</t>
        </is>
      </c>
      <c r="M20" s="33" t="inlineStr">
        <is>
          <t>Monitor</t>
        </is>
      </c>
    </row>
    <row r="21">
      <c r="B21" s="32" t="n">
        <v>45873.34375</v>
      </c>
      <c r="C21" s="32" t="n">
        <v>45873.48958333334</v>
      </c>
      <c r="D21" s="73" t="n">
        <v>3.75</v>
      </c>
      <c r="E21" s="33" t="inlineStr">
        <is>
          <t>lower</t>
        </is>
      </c>
      <c r="F21" s="73" t="n">
        <v>74.76000000000001</v>
      </c>
      <c r="G21" s="73" t="n">
        <v>3.430523906293234</v>
      </c>
      <c r="H21" s="73" t="n">
        <v>2.170663523960913</v>
      </c>
      <c r="I21" s="33" t="inlineStr">
        <is>
          <t>Confirmed/Materialized Shift</t>
        </is>
      </c>
      <c r="J21" s="74" t="n">
        <v>0.6142</v>
      </c>
      <c r="K21" s="33" t="inlineStr">
        <is>
          <t>Day</t>
        </is>
      </c>
      <c r="L21" s="33" t="inlineStr">
        <is>
          <t>Aug 2025</t>
        </is>
      </c>
      <c r="M21" s="33" t="inlineStr">
        <is>
          <t>Investigate</t>
        </is>
      </c>
    </row>
    <row r="22">
      <c r="B22" s="32" t="n">
        <v>45873.80208333334</v>
      </c>
      <c r="C22" s="32" t="n">
        <v>45873.97916666666</v>
      </c>
      <c r="D22" s="73" t="n">
        <v>4.5</v>
      </c>
      <c r="E22" s="33" t="inlineStr">
        <is>
          <t>upper</t>
        </is>
      </c>
      <c r="F22" s="73" t="n">
        <v>80.36000000000001</v>
      </c>
      <c r="G22" s="73" t="n">
        <v>3.153685874848949</v>
      </c>
      <c r="H22" s="73" t="n">
        <v>2.085635223329589</v>
      </c>
      <c r="I22" s="33" t="inlineStr">
        <is>
          <t>Confirmed/Materialized Shift</t>
        </is>
      </c>
      <c r="J22" s="74" t="n">
        <v>0.6399</v>
      </c>
      <c r="K22" s="33" t="inlineStr">
        <is>
          <t>Night</t>
        </is>
      </c>
      <c r="L22" s="33" t="inlineStr">
        <is>
          <t>Aug 2025</t>
        </is>
      </c>
      <c r="M22" s="33" t="inlineStr">
        <is>
          <t>Investigate</t>
        </is>
      </c>
    </row>
    <row r="23">
      <c r="B23" s="32" t="n">
        <v>45874.19791666666</v>
      </c>
      <c r="C23" s="32" t="n">
        <v>45874.20833333334</v>
      </c>
      <c r="D23" s="73" t="n">
        <v>0.5</v>
      </c>
      <c r="E23" s="33" t="inlineStr">
        <is>
          <t>upper</t>
        </is>
      </c>
      <c r="F23" s="73" t="n">
        <v>80.36000000000001</v>
      </c>
      <c r="G23" s="73" t="n">
        <v>2.275748724689026</v>
      </c>
      <c r="H23" s="73" t="n">
        <v>1.750575942068468</v>
      </c>
      <c r="I23" s="33" t="inlineStr">
        <is>
          <t>Extreme/elevated</t>
        </is>
      </c>
      <c r="J23" s="74" t="n">
        <v>0.2531</v>
      </c>
      <c r="K23" s="33" t="inlineStr">
        <is>
          <t>Night</t>
        </is>
      </c>
      <c r="L23" s="33" t="inlineStr">
        <is>
          <t>Aug 2025</t>
        </is>
      </c>
      <c r="M23" s="33" t="inlineStr">
        <is>
          <t>Monitor</t>
        </is>
      </c>
    </row>
    <row r="24">
      <c r="B24" s="32" t="n">
        <v>45874.27083333334</v>
      </c>
      <c r="C24" s="32" t="n">
        <v>45874.27083333334</v>
      </c>
      <c r="D24" s="73" t="n">
        <v>0.25</v>
      </c>
      <c r="E24" s="33" t="inlineStr">
        <is>
          <t>lower</t>
        </is>
      </c>
      <c r="F24" s="73" t="n">
        <v>79.52000000000001</v>
      </c>
      <c r="G24" s="73" t="n">
        <v>2.351015254558659</v>
      </c>
      <c r="H24" s="73" t="n">
        <v>2.351015254558659</v>
      </c>
      <c r="I24" s="33" t="inlineStr">
        <is>
          <t>Extreme triggered</t>
        </is>
      </c>
      <c r="J24" s="74" t="n">
        <v>0.271</v>
      </c>
      <c r="K24" s="33" t="inlineStr">
        <is>
          <t>Night</t>
        </is>
      </c>
      <c r="L24" s="33" t="inlineStr">
        <is>
          <t>Aug 2025</t>
        </is>
      </c>
      <c r="M24" s="33" t="inlineStr">
        <is>
          <t>Monitor</t>
        </is>
      </c>
    </row>
    <row r="25">
      <c r="B25" s="32" t="n">
        <v>45874.34375</v>
      </c>
      <c r="C25" s="32" t="n">
        <v>45874.48958333334</v>
      </c>
      <c r="D25" s="73" t="n">
        <v>3.75</v>
      </c>
      <c r="E25" s="33" t="inlineStr">
        <is>
          <t>lower</t>
        </is>
      </c>
      <c r="F25" s="73" t="n">
        <v>74.76000000000001</v>
      </c>
      <c r="G25" s="73" t="n">
        <v>3.271406969461694</v>
      </c>
      <c r="H25" s="73" t="n">
        <v>2.109536905934395</v>
      </c>
      <c r="I25" s="33" t="inlineStr">
        <is>
          <t>Confirmed/Materialized Shift</t>
        </is>
      </c>
      <c r="J25" s="74" t="n">
        <v>0.5893</v>
      </c>
      <c r="K25" s="33" t="inlineStr">
        <is>
          <t>Day</t>
        </is>
      </c>
      <c r="L25" s="33" t="inlineStr">
        <is>
          <t>Aug 2025</t>
        </is>
      </c>
      <c r="M25" s="33" t="inlineStr">
        <is>
          <t>Investigate</t>
        </is>
      </c>
    </row>
    <row r="26">
      <c r="B26" s="32" t="n">
        <v>45874.67708333334</v>
      </c>
      <c r="C26" s="32" t="n">
        <v>45874.67708333334</v>
      </c>
      <c r="D26" s="73" t="n">
        <v>0.25</v>
      </c>
      <c r="E26" s="33" t="inlineStr">
        <is>
          <t>upper</t>
        </is>
      </c>
      <c r="F26" s="73" t="n">
        <v>75.32000000000001</v>
      </c>
      <c r="G26" s="73" t="n">
        <v>2.299269714787752</v>
      </c>
      <c r="H26" s="73" t="n">
        <v>2.299269714787752</v>
      </c>
      <c r="I26" s="33" t="inlineStr">
        <is>
          <t>Extreme triggered</t>
        </is>
      </c>
      <c r="J26" s="74" t="n">
        <v>0.2104</v>
      </c>
      <c r="K26" s="33" t="inlineStr">
        <is>
          <t>Day</t>
        </is>
      </c>
      <c r="L26" s="33" t="inlineStr">
        <is>
          <t>Aug 2025</t>
        </is>
      </c>
      <c r="M26" s="33" t="inlineStr">
        <is>
          <t>Monitor</t>
        </is>
      </c>
    </row>
    <row r="27">
      <c r="B27" s="32" t="n">
        <v>45874.8125</v>
      </c>
      <c r="C27" s="32" t="n">
        <v>45874.97916666666</v>
      </c>
      <c r="D27" s="73" t="n">
        <v>4.25</v>
      </c>
      <c r="E27" s="33" t="inlineStr">
        <is>
          <t>upper</t>
        </is>
      </c>
      <c r="F27" s="73" t="n">
        <v>80.08000000000001</v>
      </c>
      <c r="G27" s="73" t="n">
        <v>3.269174207650848</v>
      </c>
      <c r="H27" s="73" t="n">
        <v>2.069562652193349</v>
      </c>
      <c r="I27" s="33" t="inlineStr">
        <is>
          <t>Confirmed/Materialized Shift</t>
        </is>
      </c>
      <c r="J27" s="74" t="n">
        <v>0.5858</v>
      </c>
      <c r="K27" s="33" t="inlineStr">
        <is>
          <t>Night</t>
        </is>
      </c>
      <c r="L27" s="33" t="inlineStr">
        <is>
          <t>Aug 2025</t>
        </is>
      </c>
      <c r="M27" s="33" t="inlineStr">
        <is>
          <t>Investigate</t>
        </is>
      </c>
    </row>
    <row r="28">
      <c r="B28" s="32" t="n">
        <v>45875.34375</v>
      </c>
      <c r="C28" s="32" t="n">
        <v>45875.40625</v>
      </c>
      <c r="D28" s="73" t="n">
        <v>1.75</v>
      </c>
      <c r="E28" s="33" t="inlineStr">
        <is>
          <t>lower</t>
        </is>
      </c>
      <c r="F28" s="73" t="n">
        <v>75.32000000000001</v>
      </c>
      <c r="G28" s="73" t="n">
        <v>3.205030767736083</v>
      </c>
      <c r="H28" s="73" t="n">
        <v>2.852012657200274</v>
      </c>
      <c r="I28" s="33" t="inlineStr">
        <is>
          <t>Confirmed/Materialized Shift</t>
        </is>
      </c>
      <c r="J28" s="74" t="n">
        <v>0.5957</v>
      </c>
      <c r="K28" s="33" t="inlineStr">
        <is>
          <t>Day</t>
        </is>
      </c>
      <c r="L28" s="33" t="inlineStr">
        <is>
          <t>Aug 2025</t>
        </is>
      </c>
      <c r="M28" s="33" t="inlineStr">
        <is>
          <t>Investigate</t>
        </is>
      </c>
    </row>
    <row r="29">
      <c r="B29" s="32" t="n">
        <v>45876.11458333334</v>
      </c>
      <c r="C29" s="32" t="n">
        <v>45876.11458333334</v>
      </c>
      <c r="D29" s="73" t="n">
        <v>0.25</v>
      </c>
      <c r="E29" s="33" t="inlineStr">
        <is>
          <t>lower</t>
        </is>
      </c>
      <c r="F29" s="73" t="n">
        <v>79.52000000000001</v>
      </c>
      <c r="G29" s="73" t="n">
        <v>2.45967477520729</v>
      </c>
      <c r="H29" s="73" t="n">
        <v>2.45967477520729</v>
      </c>
      <c r="I29" s="33" t="inlineStr">
        <is>
          <t>Extreme triggered</t>
        </is>
      </c>
      <c r="J29" s="74" t="n">
        <v>0.2211</v>
      </c>
      <c r="K29" s="33" t="inlineStr">
        <is>
          <t>Night</t>
        </is>
      </c>
      <c r="L29" s="33" t="inlineStr">
        <is>
          <t>Aug 2025</t>
        </is>
      </c>
      <c r="M29" s="33" t="inlineStr">
        <is>
          <t>Monitor</t>
        </is>
      </c>
    </row>
    <row r="30">
      <c r="B30" s="32" t="n">
        <v>45876.14583333334</v>
      </c>
      <c r="C30" s="32" t="n">
        <v>45876.14583333334</v>
      </c>
      <c r="D30" s="73" t="n">
        <v>0.25</v>
      </c>
      <c r="E30" s="33" t="inlineStr">
        <is>
          <t>lower</t>
        </is>
      </c>
      <c r="F30" s="73" t="n">
        <v>79.52000000000001</v>
      </c>
      <c r="G30" s="73" t="n">
        <v>2.041744710064171</v>
      </c>
      <c r="H30" s="73" t="n">
        <v>2.041744710064171</v>
      </c>
      <c r="I30" s="33" t="inlineStr">
        <is>
          <t>Extreme triggered</t>
        </is>
      </c>
      <c r="J30" s="74" t="n">
        <v>0.2218</v>
      </c>
      <c r="K30" s="33" t="inlineStr">
        <is>
          <t>Night</t>
        </is>
      </c>
      <c r="L30" s="33" t="inlineStr">
        <is>
          <t>Aug 2025</t>
        </is>
      </c>
      <c r="M30" s="33" t="inlineStr">
        <is>
          <t>Monitor</t>
        </is>
      </c>
    </row>
    <row r="31">
      <c r="B31" s="32" t="n">
        <v>45876.27083333334</v>
      </c>
      <c r="C31" s="32" t="n">
        <v>45876.27083333334</v>
      </c>
      <c r="D31" s="73" t="n">
        <v>0.25</v>
      </c>
      <c r="E31" s="33" t="inlineStr">
        <is>
          <t>upper</t>
        </is>
      </c>
      <c r="F31" s="73" t="n">
        <v>80.36000000000001</v>
      </c>
      <c r="G31" s="73" t="n">
        <v>2.122193135315804</v>
      </c>
      <c r="H31" s="73" t="n">
        <v>2.122193135315804</v>
      </c>
      <c r="I31" s="33" t="inlineStr">
        <is>
          <t>Extreme triggered</t>
        </is>
      </c>
      <c r="J31" s="74" t="n">
        <v>0.1986</v>
      </c>
      <c r="K31" s="33" t="inlineStr">
        <is>
          <t>Night</t>
        </is>
      </c>
      <c r="L31" s="33" t="inlineStr">
        <is>
          <t>Aug 2025</t>
        </is>
      </c>
      <c r="M31" s="33" t="inlineStr">
        <is>
          <t>Monitor</t>
        </is>
      </c>
    </row>
    <row r="32">
      <c r="B32" s="32" t="n">
        <v>45876.34375</v>
      </c>
      <c r="C32" s="32" t="n">
        <v>45876.48958333334</v>
      </c>
      <c r="D32" s="73" t="n">
        <v>3.75</v>
      </c>
      <c r="E32" s="33" t="inlineStr">
        <is>
          <t>lower</t>
        </is>
      </c>
      <c r="F32" s="73" t="n">
        <v>74.76000000000001</v>
      </c>
      <c r="G32" s="73" t="n">
        <v>3.454836817543331</v>
      </c>
      <c r="H32" s="73" t="n">
        <v>2.08861546818101</v>
      </c>
      <c r="I32" s="33" t="inlineStr">
        <is>
          <t>Confirmed/Materialized Shift</t>
        </is>
      </c>
      <c r="J32" s="74" t="n">
        <v>0.586</v>
      </c>
      <c r="K32" s="33" t="inlineStr">
        <is>
          <t>Day</t>
        </is>
      </c>
      <c r="L32" s="33" t="inlineStr">
        <is>
          <t>Aug 2025</t>
        </is>
      </c>
      <c r="M32" s="33" t="inlineStr">
        <is>
          <t>Investigate</t>
        </is>
      </c>
    </row>
    <row r="33">
      <c r="B33" s="32" t="n">
        <v>45876.80208333334</v>
      </c>
      <c r="C33" s="32" t="n">
        <v>45876.96875</v>
      </c>
      <c r="D33" s="73" t="n">
        <v>4.25</v>
      </c>
      <c r="E33" s="33" t="inlineStr">
        <is>
          <t>upper</t>
        </is>
      </c>
      <c r="F33" s="73" t="n">
        <v>80.36000000000001</v>
      </c>
      <c r="G33" s="73" t="n">
        <v>3.273802870494145</v>
      </c>
      <c r="H33" s="73" t="n">
        <v>2.158726509969929</v>
      </c>
      <c r="I33" s="33" t="inlineStr">
        <is>
          <t>Confirmed/Materialized Shift</t>
        </is>
      </c>
      <c r="J33" s="74" t="n">
        <v>0.6466</v>
      </c>
      <c r="K33" s="33" t="inlineStr">
        <is>
          <t>Night</t>
        </is>
      </c>
      <c r="L33" s="33" t="inlineStr">
        <is>
          <t>Aug 2025</t>
        </is>
      </c>
      <c r="M33" s="33" t="inlineStr">
        <is>
          <t>Investigate</t>
        </is>
      </c>
    </row>
    <row r="34">
      <c r="B34" s="32" t="n">
        <v>45877.17708333334</v>
      </c>
      <c r="C34" s="32" t="n">
        <v>45877.17708333334</v>
      </c>
      <c r="D34" s="73" t="n">
        <v>0.25</v>
      </c>
      <c r="E34" s="33" t="inlineStr">
        <is>
          <t>lower</t>
        </is>
      </c>
      <c r="F34" s="73" t="n">
        <v>79.52000000000001</v>
      </c>
      <c r="G34" s="73" t="n">
        <v>2.179449471735963</v>
      </c>
      <c r="H34" s="73" t="n">
        <v>2.179449471735963</v>
      </c>
      <c r="I34" s="33" t="inlineStr">
        <is>
          <t>Extreme triggered</t>
        </is>
      </c>
      <c r="J34" s="74" t="n">
        <v>0.2024</v>
      </c>
      <c r="K34" s="33" t="inlineStr">
        <is>
          <t>Night</t>
        </is>
      </c>
      <c r="L34" s="33" t="inlineStr">
        <is>
          <t>Aug 2025</t>
        </is>
      </c>
      <c r="M34" s="33" t="inlineStr">
        <is>
          <t>Monitor</t>
        </is>
      </c>
    </row>
    <row r="35">
      <c r="B35" s="32" t="n">
        <v>45877.35416666666</v>
      </c>
      <c r="C35" s="32" t="n">
        <v>45877.47916666666</v>
      </c>
      <c r="D35" s="73" t="n">
        <v>3.25</v>
      </c>
      <c r="E35" s="33" t="inlineStr">
        <is>
          <t>lower</t>
        </is>
      </c>
      <c r="F35" s="73" t="n">
        <v>74.76000000000001</v>
      </c>
      <c r="G35" s="73" t="n">
        <v>3.446978869462412</v>
      </c>
      <c r="H35" s="73" t="n">
        <v>2.173902058475388</v>
      </c>
      <c r="I35" s="33" t="inlineStr">
        <is>
          <t>Confirmed/Materialized Shift</t>
        </is>
      </c>
      <c r="J35" s="74" t="n">
        <v>0.6345</v>
      </c>
      <c r="K35" s="33" t="inlineStr">
        <is>
          <t>Day</t>
        </is>
      </c>
      <c r="L35" s="33" t="inlineStr">
        <is>
          <t>Aug 2025</t>
        </is>
      </c>
      <c r="M35" s="33" t="inlineStr">
        <is>
          <t>Investigate</t>
        </is>
      </c>
    </row>
    <row r="36">
      <c r="B36" s="32" t="n">
        <v>45877.80208333334</v>
      </c>
      <c r="C36" s="32" t="n">
        <v>45877.98958333334</v>
      </c>
      <c r="D36" s="73" t="n">
        <v>4.75</v>
      </c>
      <c r="E36" s="33" t="inlineStr">
        <is>
          <t>upper</t>
        </is>
      </c>
      <c r="F36" s="73" t="n">
        <v>80.36000000000001</v>
      </c>
      <c r="G36" s="73" t="n">
        <v>3.273802870491065</v>
      </c>
      <c r="H36" s="73" t="n">
        <v>2.029294423353637</v>
      </c>
      <c r="I36" s="33" t="inlineStr">
        <is>
          <t>Confirmed/Materialized Shift</t>
        </is>
      </c>
      <c r="J36" s="74" t="n">
        <v>0.6007</v>
      </c>
      <c r="K36" s="33" t="inlineStr">
        <is>
          <t>Night</t>
        </is>
      </c>
      <c r="L36" s="33" t="inlineStr">
        <is>
          <t>Aug 2025</t>
        </is>
      </c>
      <c r="M36" s="33" t="inlineStr">
        <is>
          <t>Investigate</t>
        </is>
      </c>
    </row>
    <row r="37">
      <c r="B37" s="32" t="n">
        <v>45878.13541666666</v>
      </c>
      <c r="C37" s="32" t="n">
        <v>45878.13541666666</v>
      </c>
      <c r="D37" s="73" t="n">
        <v>0.25</v>
      </c>
      <c r="E37" s="33" t="inlineStr">
        <is>
          <t>upper</t>
        </is>
      </c>
      <c r="F37" s="73" t="n">
        <v>80.36000000000001</v>
      </c>
      <c r="G37" s="73" t="n">
        <v>2.012461179723039</v>
      </c>
      <c r="H37" s="73" t="n">
        <v>2.012461179723039</v>
      </c>
      <c r="I37" s="33" t="inlineStr">
        <is>
          <t>Extreme triggered</t>
        </is>
      </c>
      <c r="J37" s="74" t="n">
        <v>0.1913</v>
      </c>
      <c r="K37" s="33" t="inlineStr">
        <is>
          <t>Night</t>
        </is>
      </c>
      <c r="L37" s="33" t="inlineStr">
        <is>
          <t>Aug 2025</t>
        </is>
      </c>
      <c r="M37" s="33" t="inlineStr">
        <is>
          <t>Monitor</t>
        </is>
      </c>
    </row>
    <row r="38">
      <c r="B38" s="32" t="n">
        <v>45878.34375</v>
      </c>
      <c r="C38" s="32" t="n">
        <v>45878.48958333334</v>
      </c>
      <c r="D38" s="73" t="n">
        <v>3.75</v>
      </c>
      <c r="E38" s="33" t="inlineStr">
        <is>
          <t>lower</t>
        </is>
      </c>
      <c r="F38" s="73" t="n">
        <v>74.76000000000001</v>
      </c>
      <c r="G38" s="73" t="n">
        <v>3.459768778392331</v>
      </c>
      <c r="H38" s="73" t="n">
        <v>2.11010289097039</v>
      </c>
      <c r="I38" s="33" t="inlineStr">
        <is>
          <t>Confirmed/Materialized Shift</t>
        </is>
      </c>
      <c r="J38" s="74" t="n">
        <v>0.5951</v>
      </c>
      <c r="K38" s="33" t="inlineStr">
        <is>
          <t>Day</t>
        </is>
      </c>
      <c r="L38" s="33" t="inlineStr">
        <is>
          <t>Aug 2025</t>
        </is>
      </c>
      <c r="M38" s="33" t="inlineStr">
        <is>
          <t>Investigate</t>
        </is>
      </c>
    </row>
    <row r="39">
      <c r="B39" s="32" t="n">
        <v>45878.80208333334</v>
      </c>
      <c r="C39" s="32" t="n">
        <v>45878.98958333334</v>
      </c>
      <c r="D39" s="73" t="n">
        <v>4.75</v>
      </c>
      <c r="E39" s="33" t="inlineStr">
        <is>
          <t>upper</t>
        </is>
      </c>
      <c r="F39" s="73" t="n">
        <v>79.52000000000001</v>
      </c>
      <c r="G39" s="73" t="n">
        <v>3.140920982012595</v>
      </c>
      <c r="H39" s="73" t="n">
        <v>2.085733211340917</v>
      </c>
      <c r="I39" s="33" t="inlineStr">
        <is>
          <t>Confirmed/Materialized Shift</t>
        </is>
      </c>
      <c r="J39" s="74" t="n">
        <v>0.6252</v>
      </c>
      <c r="K39" s="33" t="inlineStr">
        <is>
          <t>Night</t>
        </is>
      </c>
      <c r="L39" s="33" t="inlineStr">
        <is>
          <t>Aug 2025</t>
        </is>
      </c>
      <c r="M39" s="33" t="inlineStr">
        <is>
          <t>Investigate</t>
        </is>
      </c>
    </row>
    <row r="40">
      <c r="B40" s="32" t="n">
        <v>45879.29166666666</v>
      </c>
      <c r="C40" s="32" t="n">
        <v>45879.35416666666</v>
      </c>
      <c r="D40" s="73" t="n">
        <v>1.75</v>
      </c>
      <c r="E40" s="33" t="inlineStr">
        <is>
          <t>upper</t>
        </is>
      </c>
      <c r="F40" s="73" t="n">
        <v>80.36000000000001</v>
      </c>
      <c r="G40" s="73" t="n">
        <v>4.248529157249441</v>
      </c>
      <c r="H40" s="73" t="n">
        <v>2.211600892354914</v>
      </c>
      <c r="I40" s="33" t="inlineStr">
        <is>
          <t>Confirmed/Materialized Shift</t>
        </is>
      </c>
      <c r="J40" s="74" t="n">
        <v>0.5018</v>
      </c>
      <c r="K40" s="33" t="inlineStr">
        <is>
          <t>Day</t>
        </is>
      </c>
      <c r="L40" s="33" t="inlineStr">
        <is>
          <t>Aug 2025</t>
        </is>
      </c>
      <c r="M40" s="33" t="inlineStr">
        <is>
          <t>Investigate</t>
        </is>
      </c>
    </row>
    <row r="41">
      <c r="B41" s="32" t="n">
        <v>45879.80208333334</v>
      </c>
      <c r="C41" s="32" t="n">
        <v>45879.96875</v>
      </c>
      <c r="D41" s="73" t="n">
        <v>4.25</v>
      </c>
      <c r="E41" s="33" t="inlineStr">
        <is>
          <t>upper</t>
        </is>
      </c>
      <c r="F41" s="73" t="n">
        <v>80.36000000000001</v>
      </c>
      <c r="G41" s="73" t="n">
        <v>3.273802870492878</v>
      </c>
      <c r="H41" s="73" t="n">
        <v>2.150542860533831</v>
      </c>
      <c r="I41" s="33" t="inlineStr">
        <is>
          <t>Confirmed/Materialized Shift</t>
        </is>
      </c>
      <c r="J41" s="74" t="n">
        <v>0.5969</v>
      </c>
      <c r="K41" s="33" t="inlineStr">
        <is>
          <t>Night</t>
        </is>
      </c>
      <c r="L41" s="33" t="inlineStr">
        <is>
          <t>Aug 2025</t>
        </is>
      </c>
      <c r="M41" s="33" t="inlineStr">
        <is>
          <t>Investigate</t>
        </is>
      </c>
    </row>
    <row r="42">
      <c r="B42" s="32" t="n">
        <v>45880.1875</v>
      </c>
      <c r="C42" s="32" t="n">
        <v>45880.21875</v>
      </c>
      <c r="D42" s="73" t="n">
        <v>1</v>
      </c>
      <c r="E42" s="33" t="inlineStr">
        <is>
          <t>upper</t>
        </is>
      </c>
      <c r="F42" s="73" t="n">
        <v>80.36000000000001</v>
      </c>
      <c r="G42" s="73" t="n">
        <v>2.299269714735704</v>
      </c>
      <c r="H42" s="73" t="n">
        <v>1.327020076579603</v>
      </c>
      <c r="I42" s="33" t="inlineStr">
        <is>
          <t>Persistent</t>
        </is>
      </c>
      <c r="J42" s="74" t="n">
        <v>0.324</v>
      </c>
      <c r="K42" s="33" t="inlineStr">
        <is>
          <t>Night</t>
        </is>
      </c>
      <c r="L42" s="33" t="inlineStr">
        <is>
          <t>Aug 2025</t>
        </is>
      </c>
      <c r="M42" s="33" t="inlineStr">
        <is>
          <t>Review</t>
        </is>
      </c>
    </row>
    <row r="43">
      <c r="B43" s="32" t="n">
        <v>45880.34375</v>
      </c>
      <c r="C43" s="32" t="n">
        <v>45880.46875</v>
      </c>
      <c r="D43" s="73" t="n">
        <v>3.25</v>
      </c>
      <c r="E43" s="33" t="inlineStr">
        <is>
          <t>lower</t>
        </is>
      </c>
      <c r="F43" s="73" t="n">
        <v>74.48</v>
      </c>
      <c r="G43" s="73" t="n">
        <v>3.281052816118156</v>
      </c>
      <c r="H43" s="73" t="n">
        <v>2.306519976944747</v>
      </c>
      <c r="I43" s="33" t="inlineStr">
        <is>
          <t>Confirmed/Materialized Shift</t>
        </is>
      </c>
      <c r="J43" s="74" t="n">
        <v>0.611</v>
      </c>
      <c r="K43" s="33" t="inlineStr">
        <is>
          <t>Day</t>
        </is>
      </c>
      <c r="L43" s="33" t="inlineStr">
        <is>
          <t>Aug 2025</t>
        </is>
      </c>
      <c r="M43" s="33" t="inlineStr">
        <is>
          <t>Investigate</t>
        </is>
      </c>
    </row>
    <row r="44">
      <c r="B44" s="32" t="n">
        <v>45880.625</v>
      </c>
      <c r="C44" s="32" t="n">
        <v>45880.625</v>
      </c>
      <c r="D44" s="73" t="n">
        <v>0.25</v>
      </c>
      <c r="E44" s="33" t="inlineStr">
        <is>
          <t>upper</t>
        </is>
      </c>
      <c r="F44" s="73" t="n">
        <v>75.32000000000001</v>
      </c>
      <c r="G44" s="73" t="n">
        <v>2.320201140698378</v>
      </c>
      <c r="H44" s="73" t="n">
        <v>2.320201140698378</v>
      </c>
      <c r="I44" s="33" t="inlineStr">
        <is>
          <t>Extreme triggered</t>
        </is>
      </c>
      <c r="J44" s="74" t="n">
        <v>0.2118</v>
      </c>
      <c r="K44" s="33" t="inlineStr">
        <is>
          <t>Day</t>
        </is>
      </c>
      <c r="L44" s="33" t="inlineStr">
        <is>
          <t>Aug 2025</t>
        </is>
      </c>
      <c r="M44" s="33" t="inlineStr">
        <is>
          <t>Monitor</t>
        </is>
      </c>
    </row>
    <row r="45">
      <c r="B45" s="32" t="n">
        <v>45880.75</v>
      </c>
      <c r="C45" s="32" t="n">
        <v>45880.75</v>
      </c>
      <c r="D45" s="73" t="n">
        <v>0.25</v>
      </c>
      <c r="E45" s="33" t="inlineStr">
        <is>
          <t>upper</t>
        </is>
      </c>
      <c r="F45" s="73" t="n">
        <v>75.32000000000001</v>
      </c>
      <c r="G45" s="73" t="n">
        <v>2.041744710085147</v>
      </c>
      <c r="H45" s="73" t="n">
        <v>2.041744710085147</v>
      </c>
      <c r="I45" s="33" t="inlineStr">
        <is>
          <t>Extreme triggered</t>
        </is>
      </c>
      <c r="J45" s="74" t="n">
        <v>0.1933</v>
      </c>
      <c r="K45" s="33" t="inlineStr">
        <is>
          <t>Day</t>
        </is>
      </c>
      <c r="L45" s="33" t="inlineStr">
        <is>
          <t>Aug 2025</t>
        </is>
      </c>
      <c r="M45" s="33" t="inlineStr">
        <is>
          <t>Monitor</t>
        </is>
      </c>
    </row>
    <row r="46">
      <c r="B46" s="32" t="n">
        <v>45880.8125</v>
      </c>
      <c r="C46" s="32" t="n">
        <v>45880.97916666666</v>
      </c>
      <c r="D46" s="73" t="n">
        <v>4.25</v>
      </c>
      <c r="E46" s="33" t="inlineStr">
        <is>
          <t>upper</t>
        </is>
      </c>
      <c r="F46" s="73" t="n">
        <v>80.08000000000001</v>
      </c>
      <c r="G46" s="73" t="n">
        <v>3.199997301376236</v>
      </c>
      <c r="H46" s="73" t="n">
        <v>2.057707935728297</v>
      </c>
      <c r="I46" s="33" t="inlineStr">
        <is>
          <t>Confirmed/Materialized Shift</t>
        </is>
      </c>
      <c r="J46" s="74" t="n">
        <v>0.5943000000000001</v>
      </c>
      <c r="K46" s="33" t="inlineStr">
        <is>
          <t>Night</t>
        </is>
      </c>
      <c r="L46" s="33" t="inlineStr">
        <is>
          <t>Aug 2025</t>
        </is>
      </c>
      <c r="M46" s="33" t="inlineStr">
        <is>
          <t>Investigate</t>
        </is>
      </c>
    </row>
    <row r="47">
      <c r="B47" s="32" t="n">
        <v>45881.34375</v>
      </c>
      <c r="C47" s="32" t="n">
        <v>45881.48958333334</v>
      </c>
      <c r="D47" s="73" t="n">
        <v>3.75</v>
      </c>
      <c r="E47" s="33" t="inlineStr">
        <is>
          <t>lower</t>
        </is>
      </c>
      <c r="F47" s="73" t="n">
        <v>74.76000000000001</v>
      </c>
      <c r="G47" s="73" t="n">
        <v>3.455843911799609</v>
      </c>
      <c r="H47" s="73" t="n">
        <v>2.091030249053951</v>
      </c>
      <c r="I47" s="33" t="inlineStr">
        <is>
          <t>Confirmed/Materialized Shift</t>
        </is>
      </c>
      <c r="J47" s="74" t="n">
        <v>0.6422</v>
      </c>
      <c r="K47" s="33" t="inlineStr">
        <is>
          <t>Day</t>
        </is>
      </c>
      <c r="L47" s="33" t="inlineStr">
        <is>
          <t>Aug 2025</t>
        </is>
      </c>
      <c r="M47" s="33" t="inlineStr">
        <is>
          <t>Investigate</t>
        </is>
      </c>
    </row>
    <row r="48">
      <c r="B48" s="32" t="n">
        <v>45881.80208333334</v>
      </c>
      <c r="C48" s="32" t="n">
        <v>45881.95833333334</v>
      </c>
      <c r="D48" s="73" t="n">
        <v>4</v>
      </c>
      <c r="E48" s="33" t="inlineStr">
        <is>
          <t>upper</t>
        </is>
      </c>
      <c r="F48" s="73" t="n">
        <v>80.36000000000001</v>
      </c>
      <c r="G48" s="73" t="n">
        <v>3.399460120945088</v>
      </c>
      <c r="H48" s="73" t="n">
        <v>2.229329968244194</v>
      </c>
      <c r="I48" s="33" t="inlineStr">
        <is>
          <t>Confirmed/Materialized Shift</t>
        </is>
      </c>
      <c r="J48" s="74" t="n">
        <v>0.591</v>
      </c>
      <c r="K48" s="33" t="inlineStr">
        <is>
          <t>Night</t>
        </is>
      </c>
      <c r="L48" s="33" t="inlineStr">
        <is>
          <t>Aug 2025</t>
        </is>
      </c>
      <c r="M48" s="33" t="inlineStr">
        <is>
          <t>Investigate</t>
        </is>
      </c>
    </row>
    <row r="49">
      <c r="B49" s="32" t="n">
        <v>45882.32291666666</v>
      </c>
      <c r="C49" s="32" t="n">
        <v>45882.32291666666</v>
      </c>
      <c r="D49" s="73" t="n">
        <v>0.25</v>
      </c>
      <c r="E49" s="33" t="inlineStr">
        <is>
          <t>lower</t>
        </is>
      </c>
      <c r="F49" s="73" t="n">
        <v>79.52000000000001</v>
      </c>
      <c r="G49" s="73" t="n">
        <v>2.225337650649134</v>
      </c>
      <c r="H49" s="73" t="n">
        <v>2.225337650649134</v>
      </c>
      <c r="I49" s="33" t="inlineStr">
        <is>
          <t>Extreme triggered</t>
        </is>
      </c>
      <c r="J49" s="74" t="n">
        <v>0.2055</v>
      </c>
      <c r="K49" s="33" t="inlineStr">
        <is>
          <t>Day</t>
        </is>
      </c>
      <c r="L49" s="33" t="inlineStr">
        <is>
          <t>Aug 2025</t>
        </is>
      </c>
      <c r="M49" s="33" t="inlineStr">
        <is>
          <t>Monitor</t>
        </is>
      </c>
    </row>
    <row r="50">
      <c r="B50" s="32" t="n">
        <v>45882.34375</v>
      </c>
      <c r="C50" s="32" t="n">
        <v>45882.47916666666</v>
      </c>
      <c r="D50" s="73" t="n">
        <v>3.5</v>
      </c>
      <c r="E50" s="33" t="inlineStr">
        <is>
          <t>lower</t>
        </is>
      </c>
      <c r="F50" s="73" t="n">
        <v>74.76000000000001</v>
      </c>
      <c r="G50" s="73" t="n">
        <v>3.222974611630048</v>
      </c>
      <c r="H50" s="73" t="n">
        <v>2.175367560503812</v>
      </c>
      <c r="I50" s="33" t="inlineStr">
        <is>
          <t>Confirmed/Materialized Shift</t>
        </is>
      </c>
      <c r="J50" s="74" t="n">
        <v>0.5576</v>
      </c>
      <c r="K50" s="33" t="inlineStr">
        <is>
          <t>Day</t>
        </is>
      </c>
      <c r="L50" s="33" t="inlineStr">
        <is>
          <t>Aug 2025</t>
        </is>
      </c>
      <c r="M50" s="33" t="inlineStr">
        <is>
          <t>Investigate</t>
        </is>
      </c>
    </row>
    <row r="51">
      <c r="B51" s="32" t="n">
        <v>45882.67708333334</v>
      </c>
      <c r="C51" s="32" t="n">
        <v>45882.67708333334</v>
      </c>
      <c r="D51" s="73" t="n">
        <v>0.25</v>
      </c>
      <c r="E51" s="33" t="inlineStr">
        <is>
          <t>upper</t>
        </is>
      </c>
      <c r="F51" s="73" t="n">
        <v>75.32000000000001</v>
      </c>
      <c r="G51" s="73" t="n">
        <v>2.562808149597197</v>
      </c>
      <c r="H51" s="73" t="n">
        <v>2.562808149597197</v>
      </c>
      <c r="I51" s="33" t="inlineStr">
        <is>
          <t>Extreme triggered</t>
        </is>
      </c>
      <c r="J51" s="74" t="n">
        <v>0.228</v>
      </c>
      <c r="K51" s="33" t="inlineStr">
        <is>
          <t>Day</t>
        </is>
      </c>
      <c r="L51" s="33" t="inlineStr">
        <is>
          <t>Aug 2025</t>
        </is>
      </c>
      <c r="M51" s="33" t="inlineStr">
        <is>
          <t>Monitor</t>
        </is>
      </c>
    </row>
    <row r="52">
      <c r="B52" s="32" t="n">
        <v>45882.80208333334</v>
      </c>
      <c r="C52" s="32" t="n">
        <v>45882.97916666666</v>
      </c>
      <c r="D52" s="73" t="n">
        <v>4.5</v>
      </c>
      <c r="E52" s="33" t="inlineStr">
        <is>
          <t>upper</t>
        </is>
      </c>
      <c r="F52" s="73" t="n">
        <v>80.08000000000001</v>
      </c>
      <c r="G52" s="73" t="n">
        <v>3.098724234036842</v>
      </c>
      <c r="H52" s="73" t="n">
        <v>2.064494288964354</v>
      </c>
      <c r="I52" s="33" t="inlineStr">
        <is>
          <t>Confirmed/Materialized Shift</t>
        </is>
      </c>
      <c r="J52" s="74" t="n">
        <v>0.6091</v>
      </c>
      <c r="K52" s="33" t="inlineStr">
        <is>
          <t>Night</t>
        </is>
      </c>
      <c r="L52" s="33" t="inlineStr">
        <is>
          <t>Aug 2025</t>
        </is>
      </c>
      <c r="M52" s="33" t="inlineStr">
        <is>
          <t>Investigate</t>
        </is>
      </c>
    </row>
    <row r="53">
      <c r="B53" s="32" t="n">
        <v>45883.34375</v>
      </c>
      <c r="C53" s="32" t="n">
        <v>45883.48958333334</v>
      </c>
      <c r="D53" s="73" t="n">
        <v>3.75</v>
      </c>
      <c r="E53" s="33" t="inlineStr">
        <is>
          <t>lower</t>
        </is>
      </c>
      <c r="F53" s="73" t="n">
        <v>74.48</v>
      </c>
      <c r="G53" s="73" t="n">
        <v>3.57382459308657</v>
      </c>
      <c r="H53" s="73" t="n">
        <v>2.129269043556959</v>
      </c>
      <c r="I53" s="33" t="inlineStr">
        <is>
          <t>Confirmed/Materialized Shift</t>
        </is>
      </c>
      <c r="J53" s="74" t="n">
        <v>0.6118</v>
      </c>
      <c r="K53" s="33" t="inlineStr">
        <is>
          <t>Day</t>
        </is>
      </c>
      <c r="L53" s="33" t="inlineStr">
        <is>
          <t>Aug 2025</t>
        </is>
      </c>
      <c r="M53" s="33" t="inlineStr">
        <is>
          <t>Investigate</t>
        </is>
      </c>
    </row>
    <row r="54">
      <c r="B54" s="32" t="n">
        <v>45883.69791666666</v>
      </c>
      <c r="C54" s="32" t="n">
        <v>45883.69791666666</v>
      </c>
      <c r="D54" s="73" t="n">
        <v>0.25</v>
      </c>
      <c r="E54" s="33" t="inlineStr">
        <is>
          <t>upper</t>
        </is>
      </c>
      <c r="F54" s="73" t="n">
        <v>75.32000000000001</v>
      </c>
      <c r="G54" s="73" t="n">
        <v>2.275748724715029</v>
      </c>
      <c r="H54" s="73" t="n">
        <v>2.275748724715029</v>
      </c>
      <c r="I54" s="33" t="inlineStr">
        <is>
          <t>Extreme triggered</t>
        </is>
      </c>
      <c r="J54" s="74" t="n">
        <v>0.2374</v>
      </c>
      <c r="K54" s="33" t="inlineStr">
        <is>
          <t>Day</t>
        </is>
      </c>
      <c r="L54" s="33" t="inlineStr">
        <is>
          <t>Aug 2025</t>
        </is>
      </c>
      <c r="M54" s="33" t="inlineStr">
        <is>
          <t>Monitor</t>
        </is>
      </c>
    </row>
    <row r="55">
      <c r="B55" s="32" t="n">
        <v>45883.78125</v>
      </c>
      <c r="C55" s="32" t="n">
        <v>45883.78125</v>
      </c>
      <c r="D55" s="73" t="n">
        <v>0.25</v>
      </c>
      <c r="E55" s="33" t="inlineStr">
        <is>
          <t>lower</t>
        </is>
      </c>
      <c r="F55" s="73" t="n">
        <v>74.48</v>
      </c>
      <c r="G55" s="73" t="n">
        <v>2.258379801892292</v>
      </c>
      <c r="H55" s="73" t="n">
        <v>2.258379801892292</v>
      </c>
      <c r="I55" s="33" t="inlineStr">
        <is>
          <t>Extreme triggered</t>
        </is>
      </c>
      <c r="J55" s="74" t="n">
        <v>0.2363</v>
      </c>
      <c r="K55" s="33" t="inlineStr">
        <is>
          <t>Day</t>
        </is>
      </c>
      <c r="L55" s="33" t="inlineStr">
        <is>
          <t>Aug 2025</t>
        </is>
      </c>
      <c r="M55" s="33" t="inlineStr">
        <is>
          <t>Monitor</t>
        </is>
      </c>
    </row>
    <row r="56">
      <c r="B56" s="32" t="n">
        <v>45883.8125</v>
      </c>
      <c r="C56" s="32" t="n">
        <v>45883.96875</v>
      </c>
      <c r="D56" s="73" t="n">
        <v>4</v>
      </c>
      <c r="E56" s="33" t="inlineStr">
        <is>
          <t>upper</t>
        </is>
      </c>
      <c r="F56" s="73" t="n">
        <v>80.36000000000001</v>
      </c>
      <c r="G56" s="73" t="n">
        <v>3.037599627047848</v>
      </c>
      <c r="H56" s="73" t="n">
        <v>2.081800734065294</v>
      </c>
      <c r="I56" s="33" t="inlineStr">
        <is>
          <t>Confirmed/Materialized Shift</t>
        </is>
      </c>
      <c r="J56" s="74" t="n">
        <v>0.5379</v>
      </c>
      <c r="K56" s="33" t="inlineStr">
        <is>
          <t>Night</t>
        </is>
      </c>
      <c r="L56" s="33" t="inlineStr">
        <is>
          <t>Aug 2025</t>
        </is>
      </c>
      <c r="M56" s="33" t="inlineStr">
        <is>
          <t>Investigate</t>
        </is>
      </c>
    </row>
  </sheetData>
  <autoFilter ref="B8:M56"/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M22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6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B2" s="2" t="inlineStr">
        <is>
          <t>Daily overview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3" t="inlineStr">
        <is>
          <t>Report generated: 10/09/2026 16:09</t>
        </is>
      </c>
      <c r="M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B5" s="6" t="inlineStr">
        <is>
          <t>&lt; Back to summary worksheet</t>
        </is>
      </c>
    </row>
    <row r="6">
      <c r="B6" s="18" t="inlineStr">
        <is>
          <t>One row per day with data. Bars: share of extreme readings (red) and peak materiality (blue).</t>
        </is>
      </c>
    </row>
    <row r="8">
      <c r="B8" s="72" t="inlineStr">
        <is>
          <t>Date</t>
        </is>
      </c>
      <c r="C8" s="72" t="inlineStr">
        <is>
          <t>Readings</t>
        </is>
      </c>
      <c r="D8" s="72" t="inlineStr">
        <is>
          <t>Mean value</t>
        </is>
      </c>
      <c r="E8" s="72" t="inlineStr">
        <is>
          <t>Min value</t>
        </is>
      </c>
      <c r="F8" s="72" t="inlineStr">
        <is>
          <t>Max value</t>
        </is>
      </c>
      <c r="G8" s="72" t="inlineStr">
        <is>
          <t>Extreme readings</t>
        </is>
      </c>
      <c r="H8" s="72" t="inlineStr">
        <is>
          <t>Extreme share</t>
        </is>
      </c>
      <c r="I8" s="72" t="inlineStr">
        <is>
          <t>Persistent periods</t>
        </is>
      </c>
      <c r="J8" s="72" t="inlineStr">
        <is>
          <t>Confirmed shift periods</t>
        </is>
      </c>
      <c r="K8" s="72" t="inlineStr">
        <is>
          <t>Abnormal changes</t>
        </is>
      </c>
      <c r="L8" s="72" t="inlineStr">
        <is>
          <t>Material changes</t>
        </is>
      </c>
      <c r="M8" s="72" t="inlineStr">
        <is>
          <t>Max materiality score</t>
        </is>
      </c>
    </row>
    <row r="9">
      <c r="B9" s="75" t="n">
        <v>45870</v>
      </c>
      <c r="C9" s="33" t="n">
        <v>96</v>
      </c>
      <c r="D9" s="73" t="n">
        <v>77.55416666666667</v>
      </c>
      <c r="E9" s="73" t="n">
        <v>74.76000000000001</v>
      </c>
      <c r="F9" s="73" t="n">
        <v>80.36000000000001</v>
      </c>
      <c r="G9" s="33" t="n">
        <v>16</v>
      </c>
      <c r="H9" s="24" t="n">
        <v>0.1666666666666667</v>
      </c>
      <c r="I9" s="33" t="n">
        <v>8</v>
      </c>
      <c r="J9" s="33" t="n">
        <v>17</v>
      </c>
      <c r="K9" s="33" t="n">
        <v>5</v>
      </c>
      <c r="L9" s="33" t="n">
        <v>2</v>
      </c>
      <c r="M9" s="74" t="n">
        <v>0.6206</v>
      </c>
    </row>
    <row r="10">
      <c r="B10" s="75" t="n">
        <v>45871</v>
      </c>
      <c r="C10" s="33" t="n">
        <v>96</v>
      </c>
      <c r="D10" s="73" t="n">
        <v>77.53375000000001</v>
      </c>
      <c r="E10" s="73" t="n">
        <v>74.48</v>
      </c>
      <c r="F10" s="73" t="n">
        <v>80.36000000000001</v>
      </c>
      <c r="G10" s="33" t="n">
        <v>21</v>
      </c>
      <c r="H10" s="24" t="n">
        <v>0.21875</v>
      </c>
      <c r="I10" s="33" t="n">
        <v>8</v>
      </c>
      <c r="J10" s="33" t="n">
        <v>19</v>
      </c>
      <c r="K10" s="33" t="n">
        <v>5</v>
      </c>
      <c r="L10" s="33" t="n">
        <v>1</v>
      </c>
      <c r="M10" s="74" t="n">
        <v>0.6044</v>
      </c>
    </row>
    <row r="11">
      <c r="B11" s="75" t="n">
        <v>45872</v>
      </c>
      <c r="C11" s="33" t="n">
        <v>96</v>
      </c>
      <c r="D11" s="73" t="n">
        <v>77.53375000000001</v>
      </c>
      <c r="E11" s="73" t="n">
        <v>74.48</v>
      </c>
      <c r="F11" s="73" t="n">
        <v>80.36000000000001</v>
      </c>
      <c r="G11" s="33" t="n">
        <v>19</v>
      </c>
      <c r="H11" s="24" t="n">
        <v>0.1979166666666667</v>
      </c>
      <c r="I11" s="33" t="n">
        <v>8</v>
      </c>
      <c r="J11" s="33" t="n">
        <v>21</v>
      </c>
      <c r="K11" s="33" t="n">
        <v>4</v>
      </c>
      <c r="L11" s="33" t="n">
        <v>2</v>
      </c>
      <c r="M11" s="74" t="n">
        <v>0.613</v>
      </c>
    </row>
    <row r="12">
      <c r="B12" s="75" t="n">
        <v>45873</v>
      </c>
      <c r="C12" s="33" t="n">
        <v>96</v>
      </c>
      <c r="D12" s="73" t="n">
        <v>77.56583333333334</v>
      </c>
      <c r="E12" s="73" t="n">
        <v>74.48</v>
      </c>
      <c r="F12" s="73" t="n">
        <v>80.36000000000001</v>
      </c>
      <c r="G12" s="33" t="n">
        <v>18</v>
      </c>
      <c r="H12" s="24" t="n">
        <v>0.1875</v>
      </c>
      <c r="I12" s="33" t="n">
        <v>8</v>
      </c>
      <c r="J12" s="33" t="n">
        <v>21</v>
      </c>
      <c r="K12" s="33" t="n">
        <v>5</v>
      </c>
      <c r="L12" s="33" t="n">
        <v>3</v>
      </c>
      <c r="M12" s="74" t="n">
        <v>0.6399</v>
      </c>
    </row>
    <row r="13">
      <c r="B13" s="75" t="n">
        <v>45874</v>
      </c>
      <c r="C13" s="33" t="n">
        <v>96</v>
      </c>
      <c r="D13" s="73" t="n">
        <v>77.56875000000001</v>
      </c>
      <c r="E13" s="73" t="n">
        <v>74.76000000000001</v>
      </c>
      <c r="F13" s="73" t="n">
        <v>80.36000000000001</v>
      </c>
      <c r="G13" s="33" t="n">
        <v>21</v>
      </c>
      <c r="H13" s="24" t="n">
        <v>0.21875</v>
      </c>
      <c r="I13" s="33" t="n">
        <v>8</v>
      </c>
      <c r="J13" s="33" t="n">
        <v>20</v>
      </c>
      <c r="K13" s="33" t="n">
        <v>5</v>
      </c>
      <c r="L13" s="33" t="n">
        <v>1</v>
      </c>
      <c r="M13" s="74" t="n">
        <v>0.5893</v>
      </c>
    </row>
    <row r="14">
      <c r="B14" s="75" t="n">
        <v>45875</v>
      </c>
      <c r="C14" s="33" t="n">
        <v>48</v>
      </c>
      <c r="D14" s="73" t="n">
        <v>79.64250000000001</v>
      </c>
      <c r="E14" s="73" t="n">
        <v>75.32000000000001</v>
      </c>
      <c r="F14" s="73" t="n">
        <v>80.36000000000001</v>
      </c>
      <c r="G14" s="33" t="n">
        <v>7</v>
      </c>
      <c r="H14" s="24" t="n">
        <v>0.1458333333333333</v>
      </c>
      <c r="I14" s="33" t="n">
        <v>4</v>
      </c>
      <c r="J14" s="33" t="n">
        <v>1</v>
      </c>
      <c r="K14" s="33" t="n">
        <v>4</v>
      </c>
      <c r="L14" s="33" t="n">
        <v>2</v>
      </c>
      <c r="M14" s="74" t="n">
        <v>0.5957</v>
      </c>
    </row>
    <row r="15">
      <c r="B15" s="75" t="n">
        <v>45876</v>
      </c>
      <c r="C15" s="33" t="n">
        <v>96</v>
      </c>
      <c r="D15" s="73" t="n">
        <v>77.53666666666668</v>
      </c>
      <c r="E15" s="73" t="n">
        <v>74.48</v>
      </c>
      <c r="F15" s="73" t="n">
        <v>80.36000000000001</v>
      </c>
      <c r="G15" s="33" t="n">
        <v>21</v>
      </c>
      <c r="H15" s="24" t="n">
        <v>0.21875</v>
      </c>
      <c r="I15" s="33" t="n">
        <v>8</v>
      </c>
      <c r="J15" s="33" t="n">
        <v>20</v>
      </c>
      <c r="K15" s="33" t="n">
        <v>6</v>
      </c>
      <c r="L15" s="33" t="n">
        <v>3</v>
      </c>
      <c r="M15" s="74" t="n">
        <v>0.6466</v>
      </c>
    </row>
    <row r="16">
      <c r="B16" s="75" t="n">
        <v>45877</v>
      </c>
      <c r="C16" s="33" t="n">
        <v>96</v>
      </c>
      <c r="D16" s="73" t="n">
        <v>77.51916666666668</v>
      </c>
      <c r="E16" s="73" t="n">
        <v>74.76000000000001</v>
      </c>
      <c r="F16" s="73" t="n">
        <v>80.36000000000001</v>
      </c>
      <c r="G16" s="33" t="n">
        <v>17</v>
      </c>
      <c r="H16" s="24" t="n">
        <v>0.1770833333333333</v>
      </c>
      <c r="I16" s="33" t="n">
        <v>8</v>
      </c>
      <c r="J16" s="33" t="n">
        <v>20</v>
      </c>
      <c r="K16" s="33" t="n">
        <v>5</v>
      </c>
      <c r="L16" s="33" t="n">
        <v>3</v>
      </c>
      <c r="M16" s="74" t="n">
        <v>0.6345</v>
      </c>
    </row>
    <row r="17">
      <c r="B17" s="75" t="n">
        <v>45878</v>
      </c>
      <c r="C17" s="33" t="n">
        <v>96</v>
      </c>
      <c r="D17" s="73" t="n">
        <v>76.91250000000001</v>
      </c>
      <c r="E17" s="73" t="n">
        <v>72.52000000000001</v>
      </c>
      <c r="F17" s="73" t="n">
        <v>80.36000000000001</v>
      </c>
      <c r="G17" s="33" t="n">
        <v>19</v>
      </c>
      <c r="H17" s="24" t="n">
        <v>0.1979166666666667</v>
      </c>
      <c r="I17" s="33" t="n">
        <v>8</v>
      </c>
      <c r="J17" s="33" t="n">
        <v>22</v>
      </c>
      <c r="K17" s="33" t="n">
        <v>6</v>
      </c>
      <c r="L17" s="33" t="n">
        <v>2</v>
      </c>
      <c r="M17" s="74" t="n">
        <v>0.6252</v>
      </c>
    </row>
    <row r="18">
      <c r="B18" s="75" t="n">
        <v>45879</v>
      </c>
      <c r="C18" s="33" t="n">
        <v>96</v>
      </c>
      <c r="D18" s="73" t="n">
        <v>75.36958333333334</v>
      </c>
      <c r="E18" s="73" t="n">
        <v>72.52000000000001</v>
      </c>
      <c r="F18" s="73" t="n">
        <v>80.36000000000001</v>
      </c>
      <c r="G18" s="33" t="n">
        <v>12</v>
      </c>
      <c r="H18" s="24" t="n">
        <v>0.125</v>
      </c>
      <c r="I18" s="33" t="n">
        <v>8</v>
      </c>
      <c r="J18" s="33" t="n">
        <v>12</v>
      </c>
      <c r="K18" s="33" t="n">
        <v>3</v>
      </c>
      <c r="L18" s="33" t="n">
        <v>0</v>
      </c>
      <c r="M18" s="74" t="n">
        <v>0.5969</v>
      </c>
    </row>
    <row r="19">
      <c r="B19" s="75" t="n">
        <v>45880</v>
      </c>
      <c r="C19" s="33" t="n">
        <v>96</v>
      </c>
      <c r="D19" s="73" t="n">
        <v>77.52208333333334</v>
      </c>
      <c r="E19" s="73" t="n">
        <v>74.48</v>
      </c>
      <c r="F19" s="73" t="n">
        <v>80.36000000000001</v>
      </c>
      <c r="G19" s="33" t="n">
        <v>20</v>
      </c>
      <c r="H19" s="24" t="n">
        <v>0.2083333333333333</v>
      </c>
      <c r="I19" s="33" t="n">
        <v>10</v>
      </c>
      <c r="J19" s="33" t="n">
        <v>18</v>
      </c>
      <c r="K19" s="33" t="n">
        <v>5</v>
      </c>
      <c r="L19" s="33" t="n">
        <v>2</v>
      </c>
      <c r="M19" s="74" t="n">
        <v>0.611</v>
      </c>
    </row>
    <row r="20">
      <c r="B20" s="75" t="n">
        <v>45881</v>
      </c>
      <c r="C20" s="33" t="n">
        <v>96</v>
      </c>
      <c r="D20" s="73" t="n">
        <v>77.57458333333334</v>
      </c>
      <c r="E20" s="73" t="n">
        <v>74.76000000000001</v>
      </c>
      <c r="F20" s="73" t="n">
        <v>80.36000000000001</v>
      </c>
      <c r="G20" s="33" t="n">
        <v>18</v>
      </c>
      <c r="H20" s="24" t="n">
        <v>0.1875</v>
      </c>
      <c r="I20" s="33" t="n">
        <v>8</v>
      </c>
      <c r="J20" s="33" t="n">
        <v>19</v>
      </c>
      <c r="K20" s="33" t="n">
        <v>6</v>
      </c>
      <c r="L20" s="33" t="n">
        <v>3</v>
      </c>
      <c r="M20" s="74" t="n">
        <v>0.6422</v>
      </c>
    </row>
    <row r="21">
      <c r="B21" s="75" t="n">
        <v>45882</v>
      </c>
      <c r="C21" s="33" t="n">
        <v>96</v>
      </c>
      <c r="D21" s="73" t="n">
        <v>77.55708333333334</v>
      </c>
      <c r="E21" s="73" t="n">
        <v>74.76000000000001</v>
      </c>
      <c r="F21" s="73" t="n">
        <v>80.36000000000001</v>
      </c>
      <c r="G21" s="33" t="n">
        <v>20</v>
      </c>
      <c r="H21" s="24" t="n">
        <v>0.2083333333333333</v>
      </c>
      <c r="I21" s="33" t="n">
        <v>8</v>
      </c>
      <c r="J21" s="33" t="n">
        <v>20</v>
      </c>
      <c r="K21" s="33" t="n">
        <v>3</v>
      </c>
      <c r="L21" s="33" t="n">
        <v>1</v>
      </c>
      <c r="M21" s="74" t="n">
        <v>0.6091</v>
      </c>
    </row>
    <row r="22">
      <c r="B22" s="75" t="n">
        <v>45883</v>
      </c>
      <c r="C22" s="33" t="n">
        <v>96</v>
      </c>
      <c r="D22" s="73" t="n">
        <v>77.5775</v>
      </c>
      <c r="E22" s="73" t="n">
        <v>74.48</v>
      </c>
      <c r="F22" s="73" t="n">
        <v>80.36000000000001</v>
      </c>
      <c r="G22" s="33" t="n">
        <v>17</v>
      </c>
      <c r="H22" s="24" t="n">
        <v>0.1770833333333333</v>
      </c>
      <c r="I22" s="33" t="n">
        <v>8</v>
      </c>
      <c r="J22" s="33" t="n">
        <v>19</v>
      </c>
      <c r="K22" s="33" t="n">
        <v>4</v>
      </c>
      <c r="L22" s="33" t="n">
        <v>2</v>
      </c>
      <c r="M22" s="74" t="n">
        <v>0.6118</v>
      </c>
    </row>
  </sheetData>
  <conditionalFormatting sqref="H9:H22">
    <cfRule type="dataBar" priority="1">
      <dataBar>
        <cfvo type="num" val="0"/>
        <cfvo type="max"/>
        <color rgb="00F4CCCC"/>
      </dataBar>
    </cfRule>
  </conditionalFormatting>
  <conditionalFormatting sqref="M9:M22">
    <cfRule type="dataBar" priority="2">
      <dataBar>
        <cfvo type="num" val="0"/>
        <cfvo type="num" val="1"/>
        <color rgb="00A4C2F4"/>
      </dataBar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A1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30" customHeight="1">
      <c r="B2" s="2" t="inlineStr">
        <is>
          <t>Monthly metrics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3" t="inlineStr">
        <is>
          <t>Report generated: 10/09/2026 16:09</t>
        </is>
      </c>
      <c r="AA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>
      <c r="B5" s="6" t="inlineStr">
        <is>
          <t>&lt; Back to summary worksheet</t>
        </is>
      </c>
    </row>
    <row r="6">
      <c r="B6" s="18" t="inlineStr">
        <is>
          <t>Computed from the results by the app. Reading interval: 15.00 minutes (median spacing of the timestamps). Rank 1 = the month with the most issues. Gap hours count in the month where the gap starts.</t>
        </is>
      </c>
    </row>
    <row r="8" ht="42" customHeight="1">
      <c r="B8" s="72" t="inlineStr">
        <is>
          <t>Month</t>
        </is>
      </c>
      <c r="C8" s="72" t="inlineStr">
        <is>
          <t>Readings</t>
        </is>
      </c>
      <c r="D8" s="72" t="inlineStr">
        <is>
          <t>Days with data</t>
        </is>
      </c>
      <c r="E8" s="72" t="inlineStr">
        <is>
          <t>Mean value</t>
        </is>
      </c>
      <c r="F8" s="72" t="inlineStr">
        <is>
          <t>Min value</t>
        </is>
      </c>
      <c r="G8" s="72" t="inlineStr">
        <is>
          <t>Max value</t>
        </is>
      </c>
      <c r="H8" s="72" t="inlineStr">
        <is>
          <t>Extreme readings</t>
        </is>
      </c>
      <c r="I8" s="72" t="inlineStr">
        <is>
          <t>Extreme share</t>
        </is>
      </c>
      <c r="J8" s="72" t="inlineStr">
        <is>
          <t>Upper extremes</t>
        </is>
      </c>
      <c r="K8" s="72" t="inlineStr">
        <is>
          <t>Lower extremes</t>
        </is>
      </c>
      <c r="L8" s="72" t="inlineStr">
        <is>
          <t>Persistent periods</t>
        </is>
      </c>
      <c r="M8" s="72" t="inlineStr">
        <is>
          <t>Confirmed shift periods</t>
        </is>
      </c>
      <c r="N8" s="72" t="inlineStr">
        <is>
          <t>Sustained deviation (h)</t>
        </is>
      </c>
      <c r="O8" s="72" t="inlineStr">
        <is>
          <t>Confirmed share</t>
        </is>
      </c>
      <c r="P8" s="72" t="inlineStr">
        <is>
          <t>Abnormal changes</t>
        </is>
      </c>
      <c r="Q8" s="72" t="inlineStr">
        <is>
          <t>Material changes</t>
        </is>
      </c>
      <c r="R8" s="72" t="inlineStr">
        <is>
          <t>Material changes per day</t>
        </is>
      </c>
      <c r="S8" s="72" t="inlineStr">
        <is>
          <t>Mean materiality score</t>
        </is>
      </c>
      <c r="T8" s="72" t="inlineStr">
        <is>
          <t>Max materiality score</t>
        </is>
      </c>
      <c r="U8" s="72" t="inlineStr">
        <is>
          <t>Max |Z|</t>
        </is>
      </c>
      <c r="V8" s="72" t="inlineStr">
        <is>
          <t>Events</t>
        </is>
      </c>
      <c r="W8" s="72" t="inlineStr">
        <is>
          <t>Data gap hours</t>
        </is>
      </c>
      <c r="X8" s="72" t="inlineStr">
        <is>
          <t>Rank: extreme share</t>
        </is>
      </c>
      <c r="Y8" s="72" t="inlineStr">
        <is>
          <t>Rank: sustained (h)</t>
        </is>
      </c>
      <c r="Z8" s="72" t="inlineStr">
        <is>
          <t>Rank: material changes/day</t>
        </is>
      </c>
      <c r="AA8" s="72" t="inlineStr">
        <is>
          <t>Rank: mean materiality</t>
        </is>
      </c>
    </row>
    <row r="9">
      <c r="B9" s="23" t="inlineStr">
        <is>
          <t>Aug 2025</t>
        </is>
      </c>
      <c r="C9" s="23" t="n">
        <v>1296</v>
      </c>
      <c r="D9" s="23" t="n">
        <v>14</v>
      </c>
      <c r="E9" s="73" t="n">
        <v>77.41827160493828</v>
      </c>
      <c r="F9" s="73" t="n">
        <v>72.52000000000001</v>
      </c>
      <c r="G9" s="73" t="n">
        <v>80.36000000000001</v>
      </c>
      <c r="H9" s="23" t="n">
        <v>246</v>
      </c>
      <c r="I9" s="24" t="n">
        <v>0.1898148148148148</v>
      </c>
      <c r="J9" s="23" t="n">
        <v>133</v>
      </c>
      <c r="K9" s="23" t="n">
        <v>113</v>
      </c>
      <c r="L9" s="23" t="n">
        <v>110</v>
      </c>
      <c r="M9" s="23" t="n">
        <v>249</v>
      </c>
      <c r="N9" s="25" t="n">
        <v>89.75</v>
      </c>
      <c r="O9" s="24" t="n">
        <v>0.1921296296296296</v>
      </c>
      <c r="P9" s="23" t="n">
        <v>66</v>
      </c>
      <c r="Q9" s="23" t="n">
        <v>27</v>
      </c>
      <c r="R9" s="25" t="n">
        <v>1.928571428571429</v>
      </c>
      <c r="S9" s="74" t="n">
        <v>0.1981453703703704</v>
      </c>
      <c r="T9" s="74" t="n">
        <v>0.6466</v>
      </c>
      <c r="U9" s="73" t="n">
        <v>4.248529157249441</v>
      </c>
      <c r="V9" s="23" t="n">
        <v>48</v>
      </c>
      <c r="W9" s="25" t="n">
        <v>12.25</v>
      </c>
      <c r="X9" s="23" t="n">
        <v>1</v>
      </c>
      <c r="Y9" s="23" t="n">
        <v>1</v>
      </c>
      <c r="Z9" s="23" t="n">
        <v>1</v>
      </c>
      <c r="AA9" s="23" t="n">
        <v>1</v>
      </c>
    </row>
    <row r="10">
      <c r="B10" s="76" t="inlineStr">
        <is>
          <t>All</t>
        </is>
      </c>
      <c r="C10" s="76" t="n">
        <v>1296</v>
      </c>
      <c r="D10" s="76" t="n">
        <v>14</v>
      </c>
      <c r="E10" s="77" t="n">
        <v>77.41827160493828</v>
      </c>
      <c r="F10" s="77" t="n">
        <v>72.52000000000001</v>
      </c>
      <c r="G10" s="77" t="n">
        <v>80.36000000000001</v>
      </c>
      <c r="H10" s="76" t="n">
        <v>246</v>
      </c>
      <c r="I10" s="78" t="n">
        <v>0.1898148148148148</v>
      </c>
      <c r="J10" s="76" t="n">
        <v>133</v>
      </c>
      <c r="K10" s="76" t="n">
        <v>113</v>
      </c>
      <c r="L10" s="76" t="n">
        <v>110</v>
      </c>
      <c r="M10" s="76" t="n">
        <v>249</v>
      </c>
      <c r="N10" s="79" t="n">
        <v>89.75</v>
      </c>
      <c r="O10" s="78" t="n">
        <v>0.1921296296296296</v>
      </c>
      <c r="P10" s="76" t="n">
        <v>66</v>
      </c>
      <c r="Q10" s="76" t="n">
        <v>27</v>
      </c>
      <c r="R10" s="79" t="n">
        <v>1.928571428571429</v>
      </c>
      <c r="S10" s="80" t="n">
        <v>0.1981453703703704</v>
      </c>
      <c r="T10" s="80" t="n">
        <v>0.6466</v>
      </c>
      <c r="U10" s="77" t="n">
        <v>4.248529157249441</v>
      </c>
      <c r="V10" s="76" t="n">
        <v>48</v>
      </c>
      <c r="W10" s="79" t="n">
        <v>12.25</v>
      </c>
      <c r="X10" s="76" t="n"/>
      <c r="Y10" s="76" t="n"/>
      <c r="Z10" s="76" t="n"/>
      <c r="AA10" s="76" t="n"/>
    </row>
  </sheetData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F42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24" customWidth="1" min="2" max="2"/>
    <col width="70" customWidth="1" min="3" max="3"/>
    <col width="30" customWidth="1" min="4" max="4"/>
    <col width="14" customWidth="1" min="5" max="5"/>
  </cols>
  <sheetData>
    <row r="1">
      <c r="B1" s="1" t="n"/>
      <c r="C1" s="1" t="n"/>
      <c r="D1" s="1" t="n"/>
      <c r="E1" s="1" t="n"/>
      <c r="F1" s="1" t="n"/>
    </row>
    <row r="2" ht="30" customHeight="1">
      <c r="B2" s="2" t="inlineStr">
        <is>
          <t>Column descriptor</t>
        </is>
      </c>
      <c r="C2" s="1" t="n"/>
      <c r="D2" s="1" t="n"/>
      <c r="E2" s="3" t="inlineStr">
        <is>
          <t>Report generated: 10/09/2026 16:09</t>
        </is>
      </c>
      <c r="F2" s="1" t="n"/>
    </row>
    <row r="3">
      <c r="B3" s="1" t="n"/>
      <c r="C3" s="1" t="n"/>
      <c r="D3" s="1" t="n"/>
      <c r="E3" s="1" t="n"/>
      <c r="F3" s="1" t="n"/>
    </row>
    <row r="4" ht="4" customHeight="1">
      <c r="B4" s="4" t="n"/>
      <c r="C4" s="4" t="n"/>
      <c r="D4" s="4" t="n"/>
      <c r="E4" s="4" t="n"/>
      <c r="F4" s="4" t="n"/>
    </row>
    <row r="5">
      <c r="B5" s="6" t="inlineStr">
        <is>
          <t>&lt; Back to summary worksheet</t>
        </is>
      </c>
    </row>
    <row r="6">
      <c r="B6" s="18" t="inlineStr">
        <is>
          <t>Meaning of every column in res.csv and the parameters that drive it. Full detail: Statistical calc parameters manual.</t>
        </is>
      </c>
    </row>
    <row r="8">
      <c r="B8" s="72" t="inlineStr">
        <is>
          <t>Column</t>
        </is>
      </c>
      <c r="C8" s="72" t="inlineStr">
        <is>
          <t>Meaning</t>
        </is>
      </c>
      <c r="D8" s="72" t="inlineStr">
        <is>
          <t>Driven by</t>
        </is>
      </c>
      <c r="E8" s="72" t="inlineStr">
        <is>
          <t>Step</t>
        </is>
      </c>
    </row>
    <row r="9">
      <c r="B9" s="81" t="inlineStr">
        <is>
          <t>Timestamp</t>
        </is>
      </c>
      <c r="C9" s="81" t="inlineStr">
        <is>
          <t>Time of the reading</t>
        </is>
      </c>
      <c r="D9" s="81" t="inlineStr">
        <is>
          <t>—</t>
        </is>
      </c>
      <c r="E9" s="81" t="inlineStr">
        <is>
          <t>Input</t>
        </is>
      </c>
    </row>
    <row r="10">
      <c r="B10" s="81" t="inlineStr">
        <is>
          <t>Value</t>
        </is>
      </c>
      <c r="C10" s="81" t="inlineStr">
        <is>
          <t>The reading</t>
        </is>
      </c>
      <c r="D10" s="81" t="inlineStr">
        <is>
          <t>—</t>
        </is>
      </c>
      <c r="E10" s="81" t="inlineStr">
        <is>
          <t>Input</t>
        </is>
      </c>
    </row>
    <row r="11">
      <c r="B11" s="81" t="inlineStr">
        <is>
          <t>AbnormalChangeFlag</t>
        </is>
      </c>
      <c r="C11" s="81" t="inlineStr">
        <is>
          <t>Unusually fast change: |ROC_ZScore| ≥ ROC_K</t>
        </is>
      </c>
      <c r="D11" s="81" t="inlineStr">
        <is>
          <t>ROC_K</t>
        </is>
      </c>
      <c r="E11" s="81" t="inlineStr">
        <is>
          <t>Change</t>
        </is>
      </c>
    </row>
    <row r="12">
      <c r="B12" s="81" t="inlineStr">
        <is>
          <t>ConfirmedShiftFlag</t>
        </is>
      </c>
      <c r="C12" s="81" t="inlineStr">
        <is>
          <t>Reading is in a Confirmed/Materialized Shift</t>
        </is>
      </c>
      <c r="D12" s="81" t="inlineStr">
        <is>
          <t>N_M, K_M</t>
        </is>
      </c>
      <c r="E12" s="81" t="inlineStr">
        <is>
          <t>Materiality</t>
        </is>
      </c>
    </row>
    <row r="13">
      <c r="B13" s="81" t="inlineStr">
        <is>
          <t>DeltaLower</t>
        </is>
      </c>
      <c r="C13" s="81" t="inlineStr">
        <is>
          <t>LowerLimit − Value (positive = below the band)</t>
        </is>
      </c>
      <c r="D13" s="81" t="inlineStr">
        <is>
          <t>limits</t>
        </is>
      </c>
      <c r="E13" s="81" t="inlineStr">
        <is>
          <t>Extreme</t>
        </is>
      </c>
    </row>
    <row r="14">
      <c r="B14" s="81" t="inlineStr">
        <is>
          <t>DeltaLower_pct</t>
        </is>
      </c>
      <c r="C14" s="81" t="inlineStr">
        <is>
          <t>DeltaLower as % of LowerLimit</t>
        </is>
      </c>
      <c r="D14" s="81" t="inlineStr">
        <is>
          <t>limits</t>
        </is>
      </c>
      <c r="E14" s="81" t="inlineStr">
        <is>
          <t>Extreme</t>
        </is>
      </c>
    </row>
    <row r="15">
      <c r="B15" s="81" t="inlineStr">
        <is>
          <t>DeltaUpper</t>
        </is>
      </c>
      <c r="C15" s="81" t="inlineStr">
        <is>
          <t>Value − UpperLimit (positive = above the band)</t>
        </is>
      </c>
      <c r="D15" s="81" t="inlineStr">
        <is>
          <t>limits</t>
        </is>
      </c>
      <c r="E15" s="81" t="inlineStr">
        <is>
          <t>Extreme</t>
        </is>
      </c>
    </row>
    <row r="16">
      <c r="B16" s="81" t="inlineStr">
        <is>
          <t>DeltaUpper_pct</t>
        </is>
      </c>
      <c r="C16" s="81" t="inlineStr">
        <is>
          <t>DeltaUpper as % of UpperLimit</t>
        </is>
      </c>
      <c r="D16" s="81" t="inlineStr">
        <is>
          <t>limits</t>
        </is>
      </c>
      <c r="E16" s="81" t="inlineStr">
        <is>
          <t>Extreme</t>
        </is>
      </c>
    </row>
    <row r="17">
      <c r="B17" s="81" t="inlineStr">
        <is>
          <t>DeltaX</t>
        </is>
      </c>
      <c r="C17" s="81" t="inlineStr">
        <is>
          <t>Change from the previous reading</t>
        </is>
      </c>
      <c r="D17" s="81" t="inlineStr">
        <is>
          <t>—</t>
        </is>
      </c>
      <c r="E17" s="81" t="inlineStr">
        <is>
          <t>Change</t>
        </is>
      </c>
    </row>
    <row r="18">
      <c r="B18" s="81" t="inlineStr">
        <is>
          <t>EventEndTime</t>
        </is>
      </c>
      <c r="C18" s="81" t="inlineStr">
        <is>
          <t>End of the event this reading belongs to</t>
        </is>
      </c>
      <c r="D18" s="81" t="inlineStr">
        <is>
          <t>K_P, N_EXIT</t>
        </is>
      </c>
      <c r="E18" s="81" t="inlineStr">
        <is>
          <t>Persistence</t>
        </is>
      </c>
    </row>
    <row r="19">
      <c r="B19" s="81" t="inlineStr">
        <is>
          <t>EventStartTime</t>
        </is>
      </c>
      <c r="C19" s="81" t="inlineStr">
        <is>
          <t>Start of the event this reading belongs to</t>
        </is>
      </c>
      <c r="D19" s="81" t="inlineStr">
        <is>
          <t>K_E</t>
        </is>
      </c>
      <c r="E19" s="81" t="inlineStr">
        <is>
          <t>Persistence</t>
        </is>
      </c>
    </row>
    <row r="20">
      <c r="B20" s="81" t="inlineStr">
        <is>
          <t>ExtremeDirection</t>
        </is>
      </c>
      <c r="C20" s="81" t="inlineStr">
        <is>
          <t>upper / lower / none</t>
        </is>
      </c>
      <c r="D20" s="81" t="inlineStr">
        <is>
          <t>Method, K_E</t>
        </is>
      </c>
      <c r="E20" s="81" t="inlineStr">
        <is>
          <t>Extreme</t>
        </is>
      </c>
    </row>
    <row r="21">
      <c r="B21" s="81" t="inlineStr">
        <is>
          <t>ExtremeFlag</t>
        </is>
      </c>
      <c r="C21" s="81" t="inlineStr">
        <is>
          <t>Reading outside the normal range</t>
        </is>
      </c>
      <c r="D21" s="81" t="inlineStr">
        <is>
          <t>Method, Window, K_E, p, K_IQR</t>
        </is>
      </c>
      <c r="E21" s="81" t="inlineStr">
        <is>
          <t>Extreme</t>
        </is>
      </c>
    </row>
    <row r="22">
      <c r="B22" s="81" t="inlineStr">
        <is>
          <t>FrequencyCount</t>
        </is>
      </c>
      <c r="C22" s="81" t="inlineStr">
        <is>
          <t>Abnormal changes in the last frequency window</t>
        </is>
      </c>
      <c r="D22" s="81" t="inlineStr">
        <is>
          <t>Frequency window</t>
        </is>
      </c>
      <c r="E22" s="81" t="inlineStr">
        <is>
          <t>Change</t>
        </is>
      </c>
    </row>
    <row r="23">
      <c r="B23" s="81" t="inlineStr">
        <is>
          <t>LowerLimit</t>
        </is>
      </c>
      <c r="C23" s="81" t="inlineStr">
        <is>
          <t>Lower edge of the normal range: MA − K_E·σ</t>
        </is>
      </c>
      <c r="D23" s="81" t="inlineStr">
        <is>
          <t>Method, Window, K_E</t>
        </is>
      </c>
      <c r="E23" s="81" t="inlineStr">
        <is>
          <t>Extreme</t>
        </is>
      </c>
    </row>
    <row r="24">
      <c r="B24" s="81" t="inlineStr">
        <is>
          <t>MaterialChangeFlag</t>
        </is>
      </c>
      <c r="C24" s="81" t="inlineStr">
        <is>
          <t>Abnormal change that recurs (FrequencyCount ≥ min)</t>
        </is>
      </c>
      <c r="D24" s="81" t="inlineStr">
        <is>
          <t>Min recurrences</t>
        </is>
      </c>
      <c r="E24" s="81" t="inlineStr">
        <is>
          <t>Change</t>
        </is>
      </c>
    </row>
    <row r="25">
      <c r="B25" s="81" t="inlineStr">
        <is>
          <t>MaterialExtremeFlag</t>
        </is>
      </c>
      <c r="C25" s="81" t="inlineStr">
        <is>
          <t>Extreme that also lasted N_P readings</t>
        </is>
      </c>
      <c r="D25" s="81" t="inlineStr">
        <is>
          <t>N_P</t>
        </is>
      </c>
      <c r="E25" s="81" t="inlineStr">
        <is>
          <t>Materiality</t>
        </is>
      </c>
    </row>
    <row r="26">
      <c r="B26" s="81" t="inlineStr">
        <is>
          <t>MaterialityScore</t>
        </is>
      </c>
      <c r="C26" s="81" t="inlineStr">
        <is>
          <t>0–1 ranking: Wm·magnitude + Wd·duration + Wf·frequency</t>
        </is>
      </c>
      <c r="D26" s="81" t="inlineStr">
        <is>
          <t>Weights, K_E, N_M</t>
        </is>
      </c>
      <c r="E26" s="81" t="inlineStr">
        <is>
          <t>Materiality</t>
        </is>
      </c>
    </row>
    <row r="27">
      <c r="B27" s="81" t="inlineStr">
        <is>
          <t>MeanZ_event</t>
        </is>
      </c>
      <c r="C27" s="81" t="inlineStr">
        <is>
          <t>Average |Z| over the event so far</t>
        </is>
      </c>
      <c r="D27" s="81" t="inlineStr">
        <is>
          <t>—</t>
        </is>
      </c>
      <c r="E27" s="81" t="inlineStr">
        <is>
          <t>Persistence</t>
        </is>
      </c>
    </row>
    <row r="28">
      <c r="B28" s="81" t="inlineStr">
        <is>
          <t>MovingAverage</t>
        </is>
      </c>
      <c r="C28" s="81" t="inlineStr">
        <is>
          <t>Baseline (rolling mean over Window)</t>
        </is>
      </c>
      <c r="D28" s="81" t="inlineStr">
        <is>
          <t>Method, Window, α</t>
        </is>
      </c>
      <c r="E28" s="81" t="inlineStr">
        <is>
          <t>Extreme</t>
        </is>
      </c>
    </row>
    <row r="29">
      <c r="B29" s="81" t="inlineStr">
        <is>
          <t>PersistenceCount</t>
        </is>
      </c>
      <c r="C29" s="81" t="inlineStr">
        <is>
          <t>Readings in the current event</t>
        </is>
      </c>
      <c r="D29" s="81" t="inlineStr">
        <is>
          <t>K_P, N_EXIT</t>
        </is>
      </c>
      <c r="E29" s="81" t="inlineStr">
        <is>
          <t>Persistence</t>
        </is>
      </c>
    </row>
    <row r="30">
      <c r="B30" s="81" t="inlineStr">
        <is>
          <t>ROC</t>
        </is>
      </c>
      <c r="C30" s="81" t="inlineStr">
        <is>
          <t>Rate of change: (x(t) − x(t−h)) / h</t>
        </is>
      </c>
      <c r="D30" s="81" t="inlineStr">
        <is>
          <t>ROC horizon</t>
        </is>
      </c>
      <c r="E30" s="81" t="inlineStr">
        <is>
          <t>Change</t>
        </is>
      </c>
    </row>
    <row r="31">
      <c r="B31" s="81" t="inlineStr">
        <is>
          <t>ROC_MeanBaseline</t>
        </is>
      </c>
      <c r="C31" s="81" t="inlineStr">
        <is>
          <t>Rolling mean of ROC</t>
        </is>
      </c>
      <c r="D31" s="81" t="inlineStr">
        <is>
          <t>ROC baseline window</t>
        </is>
      </c>
      <c r="E31" s="81" t="inlineStr">
        <is>
          <t>Change</t>
        </is>
      </c>
    </row>
    <row r="32">
      <c r="B32" s="81" t="inlineStr">
        <is>
          <t>ROC_StdDev</t>
        </is>
      </c>
      <c r="C32" s="81" t="inlineStr">
        <is>
          <t>Rolling std of ROC</t>
        </is>
      </c>
      <c r="D32" s="81" t="inlineStr">
        <is>
          <t>ROC baseline window</t>
        </is>
      </c>
      <c r="E32" s="81" t="inlineStr">
        <is>
          <t>Change</t>
        </is>
      </c>
    </row>
    <row r="33">
      <c r="B33" s="81" t="inlineStr">
        <is>
          <t>ROC_ZScore</t>
        </is>
      </c>
      <c r="C33" s="81" t="inlineStr">
        <is>
          <t>(ROC − mean) / std</t>
        </is>
      </c>
      <c r="D33" s="81" t="inlineStr">
        <is>
          <t>ROC baseline window</t>
        </is>
      </c>
      <c r="E33" s="81" t="inlineStr">
        <is>
          <t>Change</t>
        </is>
      </c>
    </row>
    <row r="34">
      <c r="B34" s="81" t="inlineStr">
        <is>
          <t>RollingStdDev</t>
        </is>
      </c>
      <c r="C34" s="81" t="inlineStr">
        <is>
          <t>σ used for the limits</t>
        </is>
      </c>
      <c r="D34" s="81" t="inlineStr">
        <is>
          <t>Method, Window</t>
        </is>
      </c>
      <c r="E34" s="81" t="inlineStr">
        <is>
          <t>Extreme</t>
        </is>
      </c>
    </row>
    <row r="35">
      <c r="B35" s="81" t="inlineStr">
        <is>
          <t>State</t>
        </is>
      </c>
      <c r="C35" s="81" t="inlineStr">
        <is>
          <t>Normal, Extreme triggered, Extreme/elevated, Persistent, Confirmed/Materialized Shift, Persistence ends</t>
        </is>
      </c>
      <c r="D35" s="81" t="inlineStr">
        <is>
          <t>K_E, K_P, N_P, N_M, K_M, N_EXIT</t>
        </is>
      </c>
      <c r="E35" s="81" t="inlineStr">
        <is>
          <t>Persistence</t>
        </is>
      </c>
    </row>
    <row r="36">
      <c r="B36" s="81" t="inlineStr">
        <is>
          <t>UpperLimit</t>
        </is>
      </c>
      <c r="C36" s="81" t="inlineStr">
        <is>
          <t>Upper edge of the normal range: MA + K_E·σ</t>
        </is>
      </c>
      <c r="D36" s="81" t="inlineStr">
        <is>
          <t>Method, Window, K_E</t>
        </is>
      </c>
      <c r="E36" s="81" t="inlineStr">
        <is>
          <t>Extreme</t>
        </is>
      </c>
    </row>
    <row r="37">
      <c r="B37" s="81" t="inlineStr">
        <is>
          <t>ZScore</t>
        </is>
      </c>
      <c r="C37" s="81" t="inlineStr">
        <is>
          <t>(Value − MA) / σ</t>
        </is>
      </c>
      <c r="D37" s="81" t="inlineStr">
        <is>
          <t>Method, Window</t>
        </is>
      </c>
      <c r="E37" s="81" t="inlineStr">
        <is>
          <t>Extreme</t>
        </is>
      </c>
    </row>
    <row r="38">
      <c r="B38" s="81" t="inlineStr">
        <is>
          <t>Day/Night</t>
        </is>
      </c>
      <c r="C38" s="81" t="inlineStr">
        <is>
          <t>Day or night category of the reading</t>
        </is>
      </c>
      <c r="D38" s="81" t="inlineStr">
        <is>
          <t>time of day</t>
        </is>
      </c>
      <c r="E38" s="81" t="inlineStr">
        <is>
          <t>Input</t>
        </is>
      </c>
    </row>
    <row r="41">
      <c r="B41" s="21" t="inlineStr">
        <is>
          <t>Settings detected in this results file</t>
        </is>
      </c>
    </row>
    <row r="42">
      <c r="B42" s="26" t="inlineStr">
        <is>
          <t>Window 20, K_E 2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2026-10-09T20:09:25Z</dcterms:created>
  <dcterms:modified xmlns:dcterms="http://purl.org/dc/terms/" xmlns:xsi="http://www.w3.org/2001/XMLSchema-instance" xsi:type="dcterms:W3CDTF">2026-10-09T20:09:29Z</dcterms:modified>
</cp:coreProperties>
</file>